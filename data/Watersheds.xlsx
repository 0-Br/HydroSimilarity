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inrui_Liu\Desktop\"/>
    </mc:Choice>
  </mc:AlternateContent>
  <xr:revisionPtr revIDLastSave="0" documentId="13_ncr:1_{5A199CC1-73EC-42BA-9FDD-34F69D9780BE}" xr6:coauthVersionLast="47" xr6:coauthVersionMax="47" xr10:uidLastSave="{00000000-0000-0000-0000-000000000000}"/>
  <bookViews>
    <workbookView xWindow="1440" yWindow="3650" windowWidth="19200" windowHeight="10060" activeTab="4" xr2:uid="{00000000-000D-0000-FFFF-FFFF00000000}"/>
  </bookViews>
  <sheets>
    <sheet name="Liard River 90" sheetId="2" r:id="rId1"/>
    <sheet name="Ohio River 90" sheetId="3" r:id="rId2"/>
    <sheet name="Finlay River 90" sheetId="4" r:id="rId3"/>
    <sheet name="Finlay River 30" sheetId="6" r:id="rId4"/>
    <sheet name="Finlay River 3000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" i="5" l="1"/>
  <c r="K7" i="5"/>
  <c r="K6" i="5"/>
  <c r="K5" i="5"/>
  <c r="K4" i="5"/>
  <c r="K3" i="5"/>
  <c r="K2" i="5"/>
  <c r="K8" i="6"/>
  <c r="K7" i="6"/>
  <c r="K6" i="6"/>
  <c r="K5" i="6"/>
  <c r="K4" i="6"/>
  <c r="K3" i="6"/>
  <c r="K2" i="6"/>
  <c r="K8" i="4"/>
  <c r="K7" i="4"/>
  <c r="K6" i="4"/>
  <c r="K5" i="4"/>
  <c r="K4" i="4"/>
  <c r="K3" i="4"/>
  <c r="K2" i="4"/>
  <c r="K9" i="3"/>
  <c r="K8" i="3"/>
  <c r="K7" i="3"/>
  <c r="K6" i="3"/>
  <c r="K5" i="3"/>
  <c r="K4" i="3"/>
  <c r="K3" i="3"/>
  <c r="K2" i="3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<sst xmlns="http://schemas.openxmlformats.org/spreadsheetml/2006/main" count="311" uniqueCount="80">
  <si>
    <t>子流域名</t>
    <phoneticPr fontId="2" type="noConversion"/>
  </si>
  <si>
    <t>id</t>
    <phoneticPr fontId="2" type="noConversion"/>
  </si>
  <si>
    <t>resolution</t>
    <phoneticPr fontId="2" type="noConversion"/>
  </si>
  <si>
    <t>h_min</t>
    <phoneticPr fontId="2" type="noConversion"/>
  </si>
  <si>
    <t>h_max</t>
    <phoneticPr fontId="2" type="noConversion"/>
  </si>
  <si>
    <t>h_mean</t>
    <phoneticPr fontId="2" type="noConversion"/>
  </si>
  <si>
    <t>h_std</t>
    <phoneticPr fontId="2" type="noConversion"/>
  </si>
  <si>
    <t>area</t>
    <phoneticPr fontId="2" type="noConversion"/>
  </si>
  <si>
    <t>length</t>
    <phoneticPr fontId="2" type="noConversion"/>
  </si>
  <si>
    <t>density</t>
    <phoneticPr fontId="2" type="noConversion"/>
  </si>
  <si>
    <t>slope_mean</t>
    <phoneticPr fontId="2" type="noConversion"/>
  </si>
  <si>
    <t>slope_std</t>
    <phoneticPr fontId="2" type="noConversion"/>
  </si>
  <si>
    <t>SCA_mean</t>
    <phoneticPr fontId="2" type="noConversion"/>
  </si>
  <si>
    <t>SCA_std</t>
    <phoneticPr fontId="2" type="noConversion"/>
  </si>
  <si>
    <t>TWI_mean</t>
    <phoneticPr fontId="2" type="noConversion"/>
  </si>
  <si>
    <t>TWI_std</t>
    <phoneticPr fontId="2" type="noConversion"/>
  </si>
  <si>
    <t>USGS_03203600</t>
  </si>
  <si>
    <t>USGS_03216500</t>
    <phoneticPr fontId="1" type="noConversion"/>
  </si>
  <si>
    <t>USGS_03217000</t>
    <phoneticPr fontId="1" type="noConversion"/>
  </si>
  <si>
    <t>USGS_03237255</t>
    <phoneticPr fontId="1" type="noConversion"/>
  </si>
  <si>
    <t>USGS_03238500</t>
    <phoneticPr fontId="1" type="noConversion"/>
  </si>
  <si>
    <t>USGS_03251200</t>
    <phoneticPr fontId="1" type="noConversion"/>
  </si>
  <si>
    <t>USGS_03291500</t>
    <phoneticPr fontId="1" type="noConversion"/>
  </si>
  <si>
    <t>USGS_03212500</t>
    <phoneticPr fontId="1" type="noConversion"/>
  </si>
  <si>
    <t>Canada_07EA004</t>
  </si>
  <si>
    <t>Canada_07EA007</t>
  </si>
  <si>
    <t>Canada_07EB002</t>
  </si>
  <si>
    <t>Canada_07EC004</t>
  </si>
  <si>
    <t>GRDC_4208495</t>
  </si>
  <si>
    <t>GRDC_4208500</t>
  </si>
  <si>
    <t>GRDC_4208505</t>
  </si>
  <si>
    <t>GRDC_4208295</t>
    <phoneticPr fontId="1" type="noConversion"/>
  </si>
  <si>
    <t>GRDC_4208252</t>
  </si>
  <si>
    <t>GRDC_4208258</t>
  </si>
  <si>
    <t>GRDC_4208256</t>
  </si>
  <si>
    <t>GRDC_4208285</t>
  </si>
  <si>
    <t>GRDC_4208245</t>
  </si>
  <si>
    <t>GRDC_4208260</t>
  </si>
  <si>
    <t>GRDC_4208240</t>
  </si>
  <si>
    <t>GRDC_4208290</t>
    <phoneticPr fontId="2" type="noConversion"/>
  </si>
  <si>
    <t>径流系数</t>
    <phoneticPr fontId="2" type="noConversion"/>
  </si>
  <si>
    <t>基流系数</t>
    <phoneticPr fontId="2" type="noConversion"/>
  </si>
  <si>
    <t>退水系数early</t>
    <phoneticPr fontId="2" type="noConversion"/>
  </si>
  <si>
    <t>退水系数late</t>
    <phoneticPr fontId="2" type="noConversion"/>
  </si>
  <si>
    <t>退水系数custom</t>
    <phoneticPr fontId="2" type="noConversion"/>
  </si>
  <si>
    <t>流域名</t>
  </si>
  <si>
    <t>流域名</t>
    <phoneticPr fontId="1" type="noConversion"/>
  </si>
  <si>
    <t>Liard River</t>
  </si>
  <si>
    <t>Ohio River</t>
  </si>
  <si>
    <t>Finlay River</t>
  </si>
  <si>
    <t>Clay_1</t>
  </si>
  <si>
    <t>Clay_2</t>
  </si>
  <si>
    <t>Clay_3</t>
  </si>
  <si>
    <t>Clay_4</t>
  </si>
  <si>
    <t>Clay_5</t>
  </si>
  <si>
    <t>Clay_6</t>
  </si>
  <si>
    <t>Sand_1</t>
  </si>
  <si>
    <t>Sand_2</t>
  </si>
  <si>
    <t>Sand_3</t>
  </si>
  <si>
    <t>Sand_4</t>
  </si>
  <si>
    <t>Sand_5</t>
  </si>
  <si>
    <t>Sand_6</t>
  </si>
  <si>
    <t>Silt_1</t>
  </si>
  <si>
    <t>Silt_2</t>
  </si>
  <si>
    <t>Silt_3</t>
  </si>
  <si>
    <t>Silt_4</t>
  </si>
  <si>
    <t>Silt_5</t>
  </si>
  <si>
    <t>Silt_6</t>
  </si>
  <si>
    <t>ndvi_trend</t>
  </si>
  <si>
    <t>ndvi_season1</t>
  </si>
  <si>
    <t>ndvi_season2</t>
  </si>
  <si>
    <t>ndvi_season3</t>
  </si>
  <si>
    <t>ndvi_season4</t>
  </si>
  <si>
    <t>Cropland</t>
  </si>
  <si>
    <t>Urban_and_built_up</t>
  </si>
  <si>
    <t>ndvi_trend</t>
    <phoneticPr fontId="1" type="noConversion"/>
  </si>
  <si>
    <t>ndvi_season1</t>
    <phoneticPr fontId="1" type="noConversion"/>
  </si>
  <si>
    <t>Cropland</t>
    <phoneticPr fontId="1" type="noConversion"/>
  </si>
  <si>
    <t>Urban_and_built_up</t>
    <phoneticPr fontId="1" type="noConversion"/>
  </si>
  <si>
    <t>Clay_1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</si>
</sst>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3" fillId="2" borderId="0" xfId="1" applyAlignment="1">
      <alignment horizontal="center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B572-E37A-46DA-A1A8-E1B9359C0B12}">
  <dimension ref="A1:AU32"/>
  <sheetViews>
    <sheetView topLeftCell="AG1" workbookViewId="0">
      <selection activeCell="AU15" sqref="AU15"/>
    </sheetView>
  </sheetViews>
  <sheetFormatPr defaultRowHeight="14" x14ac:dyDescent="0.3"/>
  <cols>
    <col min="1" max="1" width="9.33203125" bestFit="1" customWidth="1"/>
    <col min="2" max="2" width="13.9140625" bestFit="1" customWidth="1"/>
    <col min="3" max="3" width="2.6640625" bestFit="1" customWidth="1"/>
    <col min="4" max="4" width="9" bestFit="1" customWidth="1"/>
    <col min="5" max="35" width="12.33203125" bestFit="1" customWidth="1"/>
    <col min="36" max="36" width="13.33203125" bestFit="1" customWidth="1"/>
    <col min="37" max="40" width="12.33203125" bestFit="1" customWidth="1"/>
    <col min="41" max="41" width="8.5" bestFit="1" customWidth="1"/>
    <col min="42" max="42" width="17.33203125" bestFit="1" customWidth="1"/>
    <col min="43" max="45" width="12.33203125" bestFit="1" customWidth="1"/>
    <col min="46" max="46" width="14.6640625" bestFit="1" customWidth="1"/>
    <col min="47" max="47" width="12.33203125" bestFit="1" customWidth="1"/>
  </cols>
  <sheetData>
    <row r="1" spans="1:47" x14ac:dyDescent="0.3">
      <c r="A1" s="3" t="s">
        <v>46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68</v>
      </c>
      <c r="AK1" s="3" t="s">
        <v>69</v>
      </c>
      <c r="AL1" s="3" t="s">
        <v>70</v>
      </c>
      <c r="AM1" s="3" t="s">
        <v>71</v>
      </c>
      <c r="AN1" s="3" t="s">
        <v>72</v>
      </c>
      <c r="AO1" s="3" t="s">
        <v>73</v>
      </c>
      <c r="AP1" s="3" t="s">
        <v>74</v>
      </c>
      <c r="AQ1" s="3" t="s">
        <v>40</v>
      </c>
      <c r="AR1" s="3" t="s">
        <v>41</v>
      </c>
      <c r="AS1" s="3" t="s">
        <v>42</v>
      </c>
      <c r="AT1" s="3" t="s">
        <v>44</v>
      </c>
      <c r="AU1" s="3" t="s">
        <v>43</v>
      </c>
    </row>
    <row r="2" spans="1:47" x14ac:dyDescent="0.3">
      <c r="A2" s="1" t="s">
        <v>47</v>
      </c>
      <c r="B2" s="2" t="s">
        <v>31</v>
      </c>
      <c r="C2" s="1">
        <v>1</v>
      </c>
      <c r="D2" s="1">
        <v>90</v>
      </c>
      <c r="E2" s="1">
        <v>695.83062744141</v>
      </c>
      <c r="F2" s="1">
        <v>2220.0993652344</v>
      </c>
      <c r="G2" s="1">
        <v>1250.6142411233</v>
      </c>
      <c r="H2" s="1">
        <v>271.20441098186001</v>
      </c>
      <c r="I2" s="1">
        <v>5032669616</v>
      </c>
      <c r="J2" s="1">
        <v>1380283.8112689999</v>
      </c>
      <c r="K2" s="1">
        <f t="shared" ref="K2:K10" si="0">J2/I2</f>
        <v>2.742647375223607E-4</v>
      </c>
      <c r="L2" s="1">
        <v>10.292594178569001</v>
      </c>
      <c r="M2" s="1">
        <v>8.8807196767318004</v>
      </c>
      <c r="N2" s="1">
        <v>53885.293060563003</v>
      </c>
      <c r="O2" s="1">
        <v>779927.75204199995</v>
      </c>
      <c r="P2" s="1">
        <v>7.8091417208468998</v>
      </c>
      <c r="Q2" s="1">
        <v>2.3823537724942998</v>
      </c>
      <c r="R2" s="1">
        <v>14</v>
      </c>
      <c r="S2" s="1">
        <v>14</v>
      </c>
      <c r="T2" s="1">
        <v>15</v>
      </c>
      <c r="U2" s="1">
        <v>15</v>
      </c>
      <c r="V2" s="1">
        <v>18</v>
      </c>
      <c r="W2" s="1">
        <v>17</v>
      </c>
      <c r="X2" s="1">
        <v>38</v>
      </c>
      <c r="Y2" s="1">
        <v>39</v>
      </c>
      <c r="Z2" s="1">
        <v>40</v>
      </c>
      <c r="AA2" s="1">
        <v>40</v>
      </c>
      <c r="AB2" s="1">
        <v>50</v>
      </c>
      <c r="AC2" s="1">
        <v>50</v>
      </c>
      <c r="AD2" s="1">
        <v>35</v>
      </c>
      <c r="AE2" s="1">
        <v>35</v>
      </c>
      <c r="AF2" s="1">
        <v>43</v>
      </c>
      <c r="AG2" s="1">
        <v>34</v>
      </c>
      <c r="AH2" s="1">
        <v>41</v>
      </c>
      <c r="AI2" s="1">
        <v>40</v>
      </c>
      <c r="AJ2" s="1">
        <v>-7.4418843293607937</v>
      </c>
      <c r="AK2" s="1">
        <v>2317.4960623593702</v>
      </c>
      <c r="AL2" s="1">
        <v>6353.1345759773012</v>
      </c>
      <c r="AM2" s="1">
        <v>3867.4825526932091</v>
      </c>
      <c r="AN2" s="1">
        <v>1841.280240331052</v>
      </c>
      <c r="AO2" s="1">
        <v>0</v>
      </c>
      <c r="AP2" s="1">
        <v>0</v>
      </c>
      <c r="AQ2" s="1">
        <v>0.48675785792612603</v>
      </c>
      <c r="AR2" s="1">
        <v>0.60057616164956695</v>
      </c>
      <c r="AS2" s="1">
        <v>3.3992631528696901E-2</v>
      </c>
      <c r="AT2" s="1">
        <v>3.1851913578654002E-2</v>
      </c>
      <c r="AU2" s="1">
        <v>2.3962856509138701E-2</v>
      </c>
    </row>
    <row r="3" spans="1:47" x14ac:dyDescent="0.3">
      <c r="A3" s="1" t="s">
        <v>47</v>
      </c>
      <c r="B3" s="2" t="s">
        <v>32</v>
      </c>
      <c r="C3" s="1">
        <v>2</v>
      </c>
      <c r="D3" s="1">
        <v>90</v>
      </c>
      <c r="E3" s="1">
        <v>590.01086425781</v>
      </c>
      <c r="F3" s="1">
        <v>2313.140625</v>
      </c>
      <c r="G3" s="1">
        <v>1250.2828327702</v>
      </c>
      <c r="H3" s="1">
        <v>315.07779413877</v>
      </c>
      <c r="I3" s="1">
        <v>14348889790</v>
      </c>
      <c r="J3" s="1">
        <v>3771661.5759709999</v>
      </c>
      <c r="K3" s="1">
        <f t="shared" si="0"/>
        <v>2.6285389540029353E-4</v>
      </c>
      <c r="L3" s="1">
        <v>11.649379039026</v>
      </c>
      <c r="M3" s="1">
        <v>9.7009999384184997</v>
      </c>
      <c r="N3" s="1">
        <v>136778.346867835</v>
      </c>
      <c r="O3" s="1">
        <v>3314128.55917517</v>
      </c>
      <c r="P3" s="1">
        <v>7.8184107545680002</v>
      </c>
      <c r="Q3" s="1">
        <v>2.7340991021001999</v>
      </c>
      <c r="R3" s="1">
        <v>15.991212010252649</v>
      </c>
      <c r="S3" s="1">
        <v>15.991212010252649</v>
      </c>
      <c r="T3" s="1">
        <v>16.938850238008051</v>
      </c>
      <c r="U3" s="1">
        <v>17.33272305626755</v>
      </c>
      <c r="V3" s="1">
        <v>19.204931038691569</v>
      </c>
      <c r="W3" s="1">
        <v>18.65153179543513</v>
      </c>
      <c r="X3" s="1">
        <v>39.219699743683627</v>
      </c>
      <c r="Y3" s="1">
        <v>40.113511534236537</v>
      </c>
      <c r="Z3" s="1">
        <v>41.348834370804347</v>
      </c>
      <c r="AA3" s="1">
        <v>41.348834370804347</v>
      </c>
      <c r="AB3" s="1">
        <v>47.335896497009642</v>
      </c>
      <c r="AC3" s="1">
        <v>47.283168558525567</v>
      </c>
      <c r="AD3" s="1">
        <v>36.066764310997193</v>
      </c>
      <c r="AE3" s="1">
        <v>35.778713535945322</v>
      </c>
      <c r="AF3" s="1">
        <v>40.364091297449043</v>
      </c>
      <c r="AG3" s="1">
        <v>34.620529720493103</v>
      </c>
      <c r="AH3" s="1">
        <v>38.575369217624797</v>
      </c>
      <c r="AI3" s="1">
        <v>37.469547174417187</v>
      </c>
      <c r="AJ3" s="1">
        <v>-1.5729738436873539</v>
      </c>
      <c r="AK3" s="1">
        <v>2099.869538247397</v>
      </c>
      <c r="AL3" s="1">
        <v>6402.8284811253561</v>
      </c>
      <c r="AM3" s="1">
        <v>3690.345002939448</v>
      </c>
      <c r="AN3" s="1">
        <v>1606.0943305765311</v>
      </c>
      <c r="AO3" s="1">
        <v>0</v>
      </c>
      <c r="AP3" s="1">
        <v>0</v>
      </c>
      <c r="AQ3" s="1">
        <v>0.56135848083004602</v>
      </c>
      <c r="AR3" s="1">
        <v>0.56818676576035598</v>
      </c>
      <c r="AS3" s="1">
        <v>4.6317627910994398E-2</v>
      </c>
      <c r="AT3" s="1">
        <v>3.7489881426071903E-2</v>
      </c>
      <c r="AU3" s="1">
        <v>2.6063980156489499E-2</v>
      </c>
    </row>
    <row r="4" spans="1:47" x14ac:dyDescent="0.3">
      <c r="A4" s="1" t="s">
        <v>47</v>
      </c>
      <c r="B4" s="2" t="s">
        <v>33</v>
      </c>
      <c r="C4" s="1">
        <v>3</v>
      </c>
      <c r="D4" s="1">
        <v>90</v>
      </c>
      <c r="E4" s="1">
        <v>626.95971679688</v>
      </c>
      <c r="F4" s="1">
        <v>2447.7377929688</v>
      </c>
      <c r="G4" s="1">
        <v>1423.0503632719999</v>
      </c>
      <c r="H4" s="1">
        <v>314.21412587536997</v>
      </c>
      <c r="I4" s="1">
        <v>6506756669</v>
      </c>
      <c r="J4" s="1">
        <v>1590504.4211889999</v>
      </c>
      <c r="K4" s="1">
        <f t="shared" si="0"/>
        <v>2.4443889668820809E-4</v>
      </c>
      <c r="L4" s="1">
        <v>16.673127579551998</v>
      </c>
      <c r="M4" s="1">
        <v>10.942003962396001</v>
      </c>
      <c r="N4" s="1">
        <v>80877.950752206001</v>
      </c>
      <c r="O4" s="1">
        <v>1604992.0633404001</v>
      </c>
      <c r="P4" s="1">
        <v>7.2187526425549002</v>
      </c>
      <c r="Q4" s="1">
        <v>2.4969994727024001</v>
      </c>
      <c r="R4" s="1">
        <v>14.630394637849671</v>
      </c>
      <c r="S4" s="1">
        <v>14.630394637849671</v>
      </c>
      <c r="T4" s="1">
        <v>15.472881471855549</v>
      </c>
      <c r="U4" s="1">
        <v>15.761712605156969</v>
      </c>
      <c r="V4" s="1">
        <v>18.05273237124684</v>
      </c>
      <c r="W4" s="1">
        <v>17.499076670542369</v>
      </c>
      <c r="X4" s="1">
        <v>41.622802817864716</v>
      </c>
      <c r="Y4" s="1">
        <v>42.307776485876481</v>
      </c>
      <c r="Z4" s="1">
        <v>43.124068121195542</v>
      </c>
      <c r="AA4" s="1">
        <v>43.124068121195542</v>
      </c>
      <c r="AB4" s="1">
        <v>50.892004650844683</v>
      </c>
      <c r="AC4" s="1">
        <v>50.734491484850558</v>
      </c>
      <c r="AD4" s="1">
        <v>33.766431844607069</v>
      </c>
      <c r="AE4" s="1">
        <v>33.792627043293891</v>
      </c>
      <c r="AF4" s="1">
        <v>38.694412146911979</v>
      </c>
      <c r="AG4" s="1">
        <v>32.320087545311537</v>
      </c>
      <c r="AH4" s="1">
        <v>37.32446481088845</v>
      </c>
      <c r="AI4" s="1">
        <v>36.009438478900208</v>
      </c>
      <c r="AJ4" s="1">
        <v>6.4534042169230474</v>
      </c>
      <c r="AK4" s="1">
        <v>1434.0094214990961</v>
      </c>
      <c r="AL4" s="1">
        <v>5794.197865521005</v>
      </c>
      <c r="AM4" s="1">
        <v>3133.3298885511649</v>
      </c>
      <c r="AN4" s="1">
        <v>893.64046684569325</v>
      </c>
      <c r="AO4" s="1">
        <v>0</v>
      </c>
      <c r="AP4" s="1">
        <v>0</v>
      </c>
      <c r="AQ4" s="1">
        <v>0.59436124860516404</v>
      </c>
      <c r="AR4" s="1">
        <v>0.53951268889497905</v>
      </c>
      <c r="AS4" s="1">
        <v>4.9426167893537598E-2</v>
      </c>
      <c r="AT4" s="1">
        <v>3.9923077093195598E-2</v>
      </c>
      <c r="AU4" s="1">
        <v>2.83706509738588E-2</v>
      </c>
    </row>
    <row r="5" spans="1:47" x14ac:dyDescent="0.3">
      <c r="A5" s="1" t="s">
        <v>47</v>
      </c>
      <c r="B5" s="2" t="s">
        <v>34</v>
      </c>
      <c r="C5" s="1">
        <v>4</v>
      </c>
      <c r="D5" s="1">
        <v>90</v>
      </c>
      <c r="E5" s="1">
        <v>582.08221435547</v>
      </c>
      <c r="F5" s="1">
        <v>2873.5673828125</v>
      </c>
      <c r="G5" s="1">
        <v>1413.7215501752</v>
      </c>
      <c r="H5" s="1">
        <v>395.59384313226002</v>
      </c>
      <c r="I5" s="1">
        <v>11141589153</v>
      </c>
      <c r="J5" s="1">
        <v>2874521.6492099999</v>
      </c>
      <c r="K5" s="1">
        <f t="shared" si="0"/>
        <v>2.579992503525408E-4</v>
      </c>
      <c r="L5" s="1">
        <v>18.191378975328998</v>
      </c>
      <c r="M5" s="1">
        <v>11.404969506796</v>
      </c>
      <c r="N5" s="1">
        <v>118388.94340375</v>
      </c>
      <c r="O5" s="1">
        <v>2717567.5929442002</v>
      </c>
      <c r="P5" s="1">
        <v>7.0726561049200001</v>
      </c>
      <c r="Q5" s="1">
        <v>2.4841636680058001</v>
      </c>
      <c r="R5" s="1">
        <v>15.78356947351473</v>
      </c>
      <c r="S5" s="1">
        <v>15.805949122524551</v>
      </c>
      <c r="T5" s="1">
        <v>17.021051360489459</v>
      </c>
      <c r="U5" s="1">
        <v>17.463693447109971</v>
      </c>
      <c r="V5" s="1">
        <v>18.556713894702941</v>
      </c>
      <c r="W5" s="1">
        <v>18.391160843664469</v>
      </c>
      <c r="X5" s="1">
        <v>43.92235549830945</v>
      </c>
      <c r="Y5" s="1">
        <v>44.566092416680092</v>
      </c>
      <c r="Z5" s="1">
        <v>45.576114957333758</v>
      </c>
      <c r="AA5" s="1">
        <v>45.307559169215907</v>
      </c>
      <c r="AB5" s="1">
        <v>48.651666398325553</v>
      </c>
      <c r="AC5" s="1">
        <v>48.620069232007729</v>
      </c>
      <c r="AD5" s="1">
        <v>35.188536467557562</v>
      </c>
      <c r="AE5" s="1">
        <v>35.210111093221713</v>
      </c>
      <c r="AF5" s="1">
        <v>37.34728707132507</v>
      </c>
      <c r="AG5" s="1">
        <v>33.489977459346321</v>
      </c>
      <c r="AH5" s="1">
        <v>35.029504105619061</v>
      </c>
      <c r="AI5" s="1">
        <v>34.526123007567222</v>
      </c>
      <c r="AJ5" s="1">
        <v>2.4039727914729419</v>
      </c>
      <c r="AK5" s="1">
        <v>1866.1642649027481</v>
      </c>
      <c r="AL5" s="1">
        <v>5930.3646122953351</v>
      </c>
      <c r="AM5" s="1">
        <v>3276.6564926372148</v>
      </c>
      <c r="AN5" s="1">
        <v>1306.865188910984</v>
      </c>
      <c r="AO5" s="1">
        <v>0</v>
      </c>
      <c r="AP5" s="1">
        <v>0</v>
      </c>
      <c r="AQ5" s="1">
        <v>0.53157094437283203</v>
      </c>
      <c r="AR5" s="1">
        <v>0.60006485438822299</v>
      </c>
      <c r="AS5" s="1">
        <v>5.05136626308045E-2</v>
      </c>
      <c r="AT5" s="1">
        <v>3.3963496518505901E-2</v>
      </c>
      <c r="AU5" s="1">
        <v>2.6196794463397701E-2</v>
      </c>
    </row>
    <row r="6" spans="1:47" x14ac:dyDescent="0.3">
      <c r="A6" s="1" t="s">
        <v>47</v>
      </c>
      <c r="B6" s="2" t="s">
        <v>35</v>
      </c>
      <c r="C6" s="1">
        <v>5</v>
      </c>
      <c r="D6" s="1">
        <v>90</v>
      </c>
      <c r="E6" s="1">
        <v>474.53497314453</v>
      </c>
      <c r="F6" s="1">
        <v>2295.21875</v>
      </c>
      <c r="G6" s="1">
        <v>1295.5016644952</v>
      </c>
      <c r="H6" s="1">
        <v>334.82325393762</v>
      </c>
      <c r="I6" s="1">
        <v>3640727343</v>
      </c>
      <c r="J6" s="1">
        <v>917955.66905799997</v>
      </c>
      <c r="K6" s="1">
        <f t="shared" si="0"/>
        <v>2.5213524182824255E-4</v>
      </c>
      <c r="L6" s="1">
        <v>14.731037175040001</v>
      </c>
      <c r="M6" s="1">
        <v>9.9981362786164905</v>
      </c>
      <c r="N6" s="1">
        <v>80695.573629107996</v>
      </c>
      <c r="O6" s="1">
        <v>1350231.7288305</v>
      </c>
      <c r="P6" s="1">
        <v>7.2613683942864</v>
      </c>
      <c r="Q6" s="1">
        <v>2.4025579485691</v>
      </c>
      <c r="R6" s="1">
        <v>16.98948123356443</v>
      </c>
      <c r="S6" s="1">
        <v>16.98948123356443</v>
      </c>
      <c r="T6" s="1">
        <v>18.419555343055219</v>
      </c>
      <c r="U6" s="1">
        <v>18.98948123356443</v>
      </c>
      <c r="V6" s="1">
        <v>18.98948123356443</v>
      </c>
      <c r="W6" s="1">
        <v>18.98948123356443</v>
      </c>
      <c r="X6" s="1">
        <v>45.889074826679419</v>
      </c>
      <c r="Y6" s="1">
        <v>46.459000717188623</v>
      </c>
      <c r="Z6" s="1">
        <v>47.59885249820703</v>
      </c>
      <c r="AA6" s="1">
        <v>47.59885249820703</v>
      </c>
      <c r="AB6" s="1">
        <v>47.311259861343537</v>
      </c>
      <c r="AC6" s="1">
        <v>47.311259861343537</v>
      </c>
      <c r="AD6" s="1">
        <v>35.699258905092037</v>
      </c>
      <c r="AE6" s="1">
        <v>35.27707387042792</v>
      </c>
      <c r="AF6" s="1">
        <v>35.129333014582834</v>
      </c>
      <c r="AG6" s="1">
        <v>33.699258905092037</v>
      </c>
      <c r="AH6" s="1">
        <v>32.981592158737747</v>
      </c>
      <c r="AI6" s="1">
        <v>32.55940712407363</v>
      </c>
      <c r="AJ6" s="1">
        <v>1.94453960462849</v>
      </c>
      <c r="AK6" s="1">
        <v>3280.399176954732</v>
      </c>
      <c r="AL6" s="1">
        <v>6740.0016619183289</v>
      </c>
      <c r="AM6" s="1">
        <v>4525.9858318636097</v>
      </c>
      <c r="AN6" s="1">
        <v>2886.0958288385482</v>
      </c>
      <c r="AO6" s="1">
        <v>0</v>
      </c>
      <c r="AP6" s="1">
        <v>0</v>
      </c>
      <c r="AQ6" s="1">
        <v>0.51618328093810595</v>
      </c>
      <c r="AR6" s="1">
        <v>0.56727901589323804</v>
      </c>
      <c r="AS6" s="1">
        <v>4.9398828532020399E-2</v>
      </c>
      <c r="AT6" s="1">
        <v>4.5119960120424699E-2</v>
      </c>
      <c r="AU6" s="1">
        <v>3.4909330472461197E-2</v>
      </c>
    </row>
    <row r="7" spans="1:47" x14ac:dyDescent="0.3">
      <c r="A7" s="1" t="s">
        <v>47</v>
      </c>
      <c r="B7" s="2" t="s">
        <v>36</v>
      </c>
      <c r="C7" s="1">
        <v>6</v>
      </c>
      <c r="D7" s="1">
        <v>90</v>
      </c>
      <c r="E7" s="1">
        <v>509.52886962891</v>
      </c>
      <c r="F7" s="1">
        <v>1492.6051025391</v>
      </c>
      <c r="G7" s="1">
        <v>866.52261069035001</v>
      </c>
      <c r="H7" s="1">
        <v>163.07066374005001</v>
      </c>
      <c r="I7" s="1">
        <v>3617754025</v>
      </c>
      <c r="J7" s="1">
        <v>996242.37761800003</v>
      </c>
      <c r="K7" s="1">
        <f t="shared" si="0"/>
        <v>2.7537592957774406E-4</v>
      </c>
      <c r="L7" s="1">
        <v>6.9966272248666996</v>
      </c>
      <c r="M7" s="1">
        <v>5.4943429554643997</v>
      </c>
      <c r="N7" s="1">
        <v>51423.187768320997</v>
      </c>
      <c r="O7" s="1">
        <v>942839.80668924004</v>
      </c>
      <c r="P7" s="1">
        <v>8.1269604864824903</v>
      </c>
      <c r="Q7" s="1">
        <v>2.5936781214239</v>
      </c>
      <c r="R7" s="1">
        <v>13.970363510071779</v>
      </c>
      <c r="S7" s="1">
        <v>13.970363510071779</v>
      </c>
      <c r="T7" s="1">
        <v>14.11345218800648</v>
      </c>
      <c r="U7" s="1">
        <v>15.11345218800648</v>
      </c>
      <c r="V7" s="1">
        <v>16.698772864088909</v>
      </c>
      <c r="W7" s="1">
        <v>16.837693910627461</v>
      </c>
      <c r="X7" s="1">
        <v>57.076406575596202</v>
      </c>
      <c r="Y7" s="1">
        <v>56.354248668673307</v>
      </c>
      <c r="Z7" s="1">
        <v>58.655475804584391</v>
      </c>
      <c r="AA7" s="1">
        <v>58.655475804584391</v>
      </c>
      <c r="AB7" s="1">
        <v>59.227830516323223</v>
      </c>
      <c r="AC7" s="1">
        <v>58.368835378559851</v>
      </c>
      <c r="AD7" s="1">
        <v>26.081731882380179</v>
      </c>
      <c r="AE7" s="1">
        <v>26.801805973604999</v>
      </c>
      <c r="AF7" s="1">
        <v>23.226904376012971</v>
      </c>
      <c r="AG7" s="1">
        <v>23.224820560314889</v>
      </c>
      <c r="AH7" s="1">
        <v>23.224820560314889</v>
      </c>
      <c r="AI7" s="1">
        <v>21.224820560314889</v>
      </c>
      <c r="AJ7" s="1">
        <v>-18.86163364749719</v>
      </c>
      <c r="AK7" s="1">
        <v>4412.599614845939</v>
      </c>
      <c r="AL7" s="1">
        <v>6860.2645375457878</v>
      </c>
      <c r="AM7" s="1">
        <v>5066.1593537414956</v>
      </c>
      <c r="AN7" s="1">
        <v>3791.28704345816</v>
      </c>
      <c r="AO7" s="1">
        <v>0</v>
      </c>
      <c r="AP7" s="1">
        <v>0</v>
      </c>
      <c r="AQ7" s="1">
        <v>0.39619075993206299</v>
      </c>
      <c r="AR7" s="1">
        <v>0.79736291907523305</v>
      </c>
      <c r="AS7" s="1">
        <v>1.8055844591854501E-2</v>
      </c>
      <c r="AT7" s="1">
        <v>1.5304729734781201E-2</v>
      </c>
      <c r="AU7" s="1">
        <v>1.44599796837703E-2</v>
      </c>
    </row>
    <row r="8" spans="1:47" x14ac:dyDescent="0.3">
      <c r="A8" s="1" t="s">
        <v>47</v>
      </c>
      <c r="B8" s="2" t="s">
        <v>37</v>
      </c>
      <c r="C8" s="1">
        <v>7</v>
      </c>
      <c r="D8" s="1">
        <v>90</v>
      </c>
      <c r="E8" s="1">
        <v>472.70278930664</v>
      </c>
      <c r="F8" s="1">
        <v>2391.8955078125</v>
      </c>
      <c r="G8" s="1">
        <v>1080.5407496869</v>
      </c>
      <c r="H8" s="1">
        <v>273.01635758141998</v>
      </c>
      <c r="I8" s="1">
        <v>9045162086</v>
      </c>
      <c r="J8" s="1">
        <v>2478258.9504340002</v>
      </c>
      <c r="K8" s="1">
        <f t="shared" si="0"/>
        <v>2.7398723504024563E-4</v>
      </c>
      <c r="L8" s="1">
        <v>10.156657040726</v>
      </c>
      <c r="M8" s="1">
        <v>8.6766816536789904</v>
      </c>
      <c r="N8" s="1">
        <v>128824.0812461</v>
      </c>
      <c r="O8" s="1">
        <v>2550817.0677311001</v>
      </c>
      <c r="P8" s="1">
        <v>7.8042969696647999</v>
      </c>
      <c r="Q8" s="1">
        <v>2.5109511510999001</v>
      </c>
      <c r="R8" s="1">
        <v>13.611032724955621</v>
      </c>
      <c r="S8" s="1">
        <v>13.611032724955621</v>
      </c>
      <c r="T8" s="1">
        <v>13.776250512038599</v>
      </c>
      <c r="U8" s="1">
        <v>14.776250512038599</v>
      </c>
      <c r="V8" s="1">
        <v>15.93964771744572</v>
      </c>
      <c r="W8" s="1">
        <v>16.62764553274771</v>
      </c>
      <c r="X8" s="1">
        <v>58.544217377452092</v>
      </c>
      <c r="Y8" s="1">
        <v>57.72918847571799</v>
      </c>
      <c r="Z8" s="1">
        <v>57.811979427427062</v>
      </c>
      <c r="AA8" s="1">
        <v>57.811979427427062</v>
      </c>
      <c r="AB8" s="1">
        <v>61.45041190660416</v>
      </c>
      <c r="AC8" s="1">
        <v>60.579263574712122</v>
      </c>
      <c r="AD8" s="1">
        <v>24.755404851850169</v>
      </c>
      <c r="AE8" s="1">
        <v>25.534067634609261</v>
      </c>
      <c r="AF8" s="1">
        <v>21.361476491739111</v>
      </c>
      <c r="AG8" s="1">
        <v>21.920622638933139</v>
      </c>
      <c r="AH8" s="1">
        <v>22.516134905102181</v>
      </c>
      <c r="AI8" s="1">
        <v>19.920622638933139</v>
      </c>
      <c r="AJ8" s="1">
        <v>-15.404697649614111</v>
      </c>
      <c r="AK8" s="1">
        <v>2920.542544459644</v>
      </c>
      <c r="AL8" s="1">
        <v>6573.1753354203938</v>
      </c>
      <c r="AM8" s="1">
        <v>4231.8034330011078</v>
      </c>
      <c r="AN8" s="1">
        <v>2493.142786181982</v>
      </c>
      <c r="AO8" s="1">
        <v>0</v>
      </c>
      <c r="AP8" s="1">
        <v>0</v>
      </c>
      <c r="AQ8" s="1">
        <v>0.48498699961420699</v>
      </c>
      <c r="AR8" s="1">
        <v>0.57886167892135898</v>
      </c>
      <c r="AS8" s="1">
        <v>5.65436592537066E-2</v>
      </c>
      <c r="AT8" s="1">
        <v>3.8176618231208E-2</v>
      </c>
      <c r="AU8" s="1">
        <v>3.0142037196604399E-2</v>
      </c>
    </row>
    <row r="9" spans="1:47" x14ac:dyDescent="0.3">
      <c r="A9" s="1" t="s">
        <v>47</v>
      </c>
      <c r="B9" s="2" t="s">
        <v>38</v>
      </c>
      <c r="C9" s="1">
        <v>8</v>
      </c>
      <c r="D9" s="1">
        <v>90</v>
      </c>
      <c r="E9" s="1">
        <v>576.95678710938</v>
      </c>
      <c r="F9" s="1">
        <v>2461.0710449219</v>
      </c>
      <c r="G9" s="1">
        <v>1228.7581708048001</v>
      </c>
      <c r="H9" s="1">
        <v>359.57690234069997</v>
      </c>
      <c r="I9" s="1">
        <v>9365533575</v>
      </c>
      <c r="J9" s="1">
        <v>2479279.624692</v>
      </c>
      <c r="K9" s="1">
        <f t="shared" si="0"/>
        <v>2.6472379868565041E-4</v>
      </c>
      <c r="L9" s="1">
        <v>13.44530074096</v>
      </c>
      <c r="M9" s="1">
        <v>10.835917472566001</v>
      </c>
      <c r="N9" s="1">
        <v>148783.15102629</v>
      </c>
      <c r="O9" s="1">
        <v>2982219.8430229998</v>
      </c>
      <c r="P9" s="1">
        <v>7.5973440066254998</v>
      </c>
      <c r="Q9" s="1">
        <v>2.6321842656536001</v>
      </c>
      <c r="R9" s="1">
        <v>13.02580895342324</v>
      </c>
      <c r="S9" s="1">
        <v>13.02580895342324</v>
      </c>
      <c r="T9" s="1">
        <v>13.290232237494079</v>
      </c>
      <c r="U9" s="1">
        <v>14.282304278512649</v>
      </c>
      <c r="V9" s="1">
        <v>15.90025421172821</v>
      </c>
      <c r="W9" s="1">
        <v>16.345986470765649</v>
      </c>
      <c r="X9" s="1">
        <v>59.633030289973718</v>
      </c>
      <c r="Y9" s="1">
        <v>58.683097074410789</v>
      </c>
      <c r="Z9" s="1">
        <v>59.611960877245899</v>
      </c>
      <c r="AA9" s="1">
        <v>59.611960877245899</v>
      </c>
      <c r="AB9" s="1">
        <v>62.79296824507734</v>
      </c>
      <c r="AC9" s="1">
        <v>61.943642552458101</v>
      </c>
      <c r="AD9" s="1">
        <v>23.769701408936189</v>
      </c>
      <c r="AE9" s="1">
        <v>24.597957688827609</v>
      </c>
      <c r="AF9" s="1">
        <v>20.754922659313198</v>
      </c>
      <c r="AG9" s="1">
        <v>21.057908569951309</v>
      </c>
      <c r="AH9" s="1">
        <v>21.482571416260932</v>
      </c>
      <c r="AI9" s="1">
        <v>19.073764487914168</v>
      </c>
      <c r="AJ9" s="1">
        <v>-5.2679275620602439</v>
      </c>
      <c r="AK9" s="1">
        <v>1851.8422247686949</v>
      </c>
      <c r="AL9" s="1">
        <v>5786.5814810189813</v>
      </c>
      <c r="AM9" s="1">
        <v>3389.873757988044</v>
      </c>
      <c r="AN9" s="1">
        <v>1410.295065775648</v>
      </c>
      <c r="AO9" s="1">
        <v>0</v>
      </c>
      <c r="AP9" s="1">
        <v>0</v>
      </c>
      <c r="AQ9" s="1">
        <v>0.57442670009156205</v>
      </c>
      <c r="AR9" s="1">
        <v>0.55266730830648603</v>
      </c>
      <c r="AS9" s="1">
        <v>4.2743880088478098E-2</v>
      </c>
      <c r="AT9" s="1">
        <v>4.1222348626113701E-2</v>
      </c>
      <c r="AU9" s="1">
        <v>2.0739918660115101E-2</v>
      </c>
    </row>
    <row r="10" spans="1:47" x14ac:dyDescent="0.3">
      <c r="A10" s="1" t="s">
        <v>47</v>
      </c>
      <c r="B10" s="2" t="s">
        <v>39</v>
      </c>
      <c r="C10" s="1">
        <v>9</v>
      </c>
      <c r="D10" s="1">
        <v>90</v>
      </c>
      <c r="E10" s="1">
        <v>678.10107421875</v>
      </c>
      <c r="F10" s="1">
        <v>2332.6433105469</v>
      </c>
      <c r="G10" s="1">
        <v>1197.7227155789001</v>
      </c>
      <c r="H10" s="1">
        <v>309.39510125264002</v>
      </c>
      <c r="I10" s="1">
        <v>11853840682</v>
      </c>
      <c r="J10" s="1">
        <v>3107360.0842380002</v>
      </c>
      <c r="K10" s="1">
        <f t="shared" si="0"/>
        <v>2.621395181189259E-4</v>
      </c>
      <c r="L10" s="1">
        <v>11.47284943527</v>
      </c>
      <c r="M10" s="1">
        <v>10.087982001845999</v>
      </c>
      <c r="N10" s="1">
        <v>108949.32554994</v>
      </c>
      <c r="O10" s="1">
        <v>2647227.1100769001</v>
      </c>
      <c r="P10" s="1">
        <v>7.9228542653553999</v>
      </c>
      <c r="Q10" s="1">
        <v>2.8902153600020002</v>
      </c>
      <c r="R10" s="1">
        <v>13.35583469498911</v>
      </c>
      <c r="S10" s="1">
        <v>13.35583469498911</v>
      </c>
      <c r="T10" s="1">
        <v>13.84153730936819</v>
      </c>
      <c r="U10" s="1">
        <v>14.43579793028322</v>
      </c>
      <c r="V10" s="1">
        <v>16.47722630718954</v>
      </c>
      <c r="W10" s="1">
        <v>16.45795887799564</v>
      </c>
      <c r="X10" s="1">
        <v>51.488425925925917</v>
      </c>
      <c r="Y10" s="1">
        <v>51.288024237472769</v>
      </c>
      <c r="Z10" s="1">
        <v>51.874455337690627</v>
      </c>
      <c r="AA10" s="1">
        <v>51.874455337690627</v>
      </c>
      <c r="AB10" s="1">
        <v>58.053376906318093</v>
      </c>
      <c r="AC10" s="1">
        <v>57.505038126361647</v>
      </c>
      <c r="AD10" s="1">
        <v>28.010450708061001</v>
      </c>
      <c r="AE10" s="1">
        <v>28.558789488017428</v>
      </c>
      <c r="AF10" s="1">
        <v>29.141714324618739</v>
      </c>
      <c r="AG10" s="1">
        <v>25.925653594771241</v>
      </c>
      <c r="AH10" s="1">
        <v>29.057257625272332</v>
      </c>
      <c r="AI10" s="1">
        <v>27.100285947712418</v>
      </c>
      <c r="AJ10" s="1">
        <v>-4.1619193243001167</v>
      </c>
      <c r="AK10" s="1">
        <v>1641.1853817128231</v>
      </c>
      <c r="AL10" s="1">
        <v>6237.8768834258526</v>
      </c>
      <c r="AM10" s="1">
        <v>3409.6670266732131</v>
      </c>
      <c r="AN10" s="1">
        <v>1098.2615187001629</v>
      </c>
      <c r="AO10" s="1">
        <v>0</v>
      </c>
      <c r="AP10" s="1">
        <v>0</v>
      </c>
      <c r="AQ10" s="1">
        <v>0.597023697932204</v>
      </c>
      <c r="AR10" s="1">
        <v>0.59924420029362102</v>
      </c>
      <c r="AS10" s="1">
        <v>1.3729037312949E-2</v>
      </c>
      <c r="AT10" s="1">
        <v>2.2743637959759599E-2</v>
      </c>
      <c r="AU10" s="1">
        <v>2.4379704500478501E-2</v>
      </c>
    </row>
    <row r="11" spans="1:4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4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4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4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4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4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2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2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2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2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2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3" spans="1:2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3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3">
      <c r="A25" s="2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3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3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2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3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3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DF72-37BF-420C-92E4-9C080D580C93}">
  <dimension ref="A1:AU16"/>
  <sheetViews>
    <sheetView topLeftCell="AG1" workbookViewId="0">
      <selection activeCell="AP1" sqref="AP1"/>
    </sheetView>
  </sheetViews>
  <sheetFormatPr defaultRowHeight="14" x14ac:dyDescent="0.3"/>
  <cols>
    <col min="1" max="1" width="9.4140625" bestFit="1" customWidth="1"/>
    <col min="2" max="2" width="14.58203125" bestFit="1" customWidth="1"/>
    <col min="3" max="3" width="3.1640625" bestFit="1" customWidth="1"/>
    <col min="4" max="4" width="9" bestFit="1" customWidth="1"/>
    <col min="5" max="5" width="5.9140625" bestFit="1" customWidth="1"/>
    <col min="6" max="6" width="6.25" bestFit="1" customWidth="1"/>
    <col min="7" max="8" width="12.33203125" bestFit="1" customWidth="1"/>
    <col min="9" max="9" width="11.25" bestFit="1" customWidth="1"/>
    <col min="10" max="35" width="12.33203125" bestFit="1" customWidth="1"/>
    <col min="36" max="36" width="13.33203125" bestFit="1" customWidth="1"/>
    <col min="37" max="41" width="12.33203125" bestFit="1" customWidth="1"/>
    <col min="42" max="42" width="17.33203125" bestFit="1" customWidth="1"/>
    <col min="43" max="45" width="12.33203125" bestFit="1" customWidth="1"/>
    <col min="46" max="46" width="14.6640625" bestFit="1" customWidth="1"/>
    <col min="47" max="47" width="12.33203125" bestFit="1" customWidth="1"/>
  </cols>
  <sheetData>
    <row r="1" spans="1:47" x14ac:dyDescent="0.3">
      <c r="A1" s="3" t="s">
        <v>46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79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75</v>
      </c>
      <c r="AK1" s="3" t="s">
        <v>76</v>
      </c>
      <c r="AL1" s="3" t="s">
        <v>70</v>
      </c>
      <c r="AM1" s="3" t="s">
        <v>71</v>
      </c>
      <c r="AN1" s="3" t="s">
        <v>72</v>
      </c>
      <c r="AO1" s="3" t="s">
        <v>77</v>
      </c>
      <c r="AP1" s="3" t="s">
        <v>78</v>
      </c>
      <c r="AQ1" s="3" t="s">
        <v>40</v>
      </c>
      <c r="AR1" s="3" t="s">
        <v>41</v>
      </c>
      <c r="AS1" s="3" t="s">
        <v>42</v>
      </c>
      <c r="AT1" s="3" t="s">
        <v>44</v>
      </c>
      <c r="AU1" s="3" t="s">
        <v>43</v>
      </c>
    </row>
    <row r="2" spans="1:47" x14ac:dyDescent="0.3">
      <c r="A2" s="1" t="s">
        <v>48</v>
      </c>
      <c r="B2" s="1" t="s">
        <v>16</v>
      </c>
      <c r="C2" s="1">
        <v>10</v>
      </c>
      <c r="D2" s="1">
        <v>90</v>
      </c>
      <c r="E2" s="1">
        <v>192</v>
      </c>
      <c r="F2" s="1">
        <v>1080</v>
      </c>
      <c r="G2" s="1">
        <v>581.59228278670003</v>
      </c>
      <c r="H2" s="1">
        <v>141.382749762</v>
      </c>
      <c r="I2" s="1">
        <v>2153637703</v>
      </c>
      <c r="J2" s="1">
        <v>615504.964423</v>
      </c>
      <c r="K2" s="1">
        <f t="shared" ref="K2:K9" si="0">J2/I2</f>
        <v>2.8579782178107604E-4</v>
      </c>
      <c r="L2" s="1">
        <v>16.582142559586</v>
      </c>
      <c r="M2" s="1">
        <v>7.6533422873118004</v>
      </c>
      <c r="N2" s="1">
        <v>60195.261082814002</v>
      </c>
      <c r="O2" s="1">
        <v>855027.20626460004</v>
      </c>
      <c r="P2" s="1">
        <v>6.7133428256713996</v>
      </c>
      <c r="Q2" s="1">
        <v>2.2502459905983998</v>
      </c>
      <c r="R2" s="1">
        <v>16.3581995593327</v>
      </c>
      <c r="S2" s="1">
        <v>16.41233868429336</v>
      </c>
      <c r="T2" s="1">
        <v>17.054768649669501</v>
      </c>
      <c r="U2" s="1">
        <v>18.29178470254957</v>
      </c>
      <c r="V2" s="1">
        <v>20.593012275731819</v>
      </c>
      <c r="W2" s="1">
        <v>20.062637708530058</v>
      </c>
      <c r="X2" s="1">
        <v>45.935788479697827</v>
      </c>
      <c r="Y2" s="1">
        <v>45.709474346868113</v>
      </c>
      <c r="Z2" s="1">
        <v>47.180988353792877</v>
      </c>
      <c r="AA2" s="1">
        <v>49.690903367957191</v>
      </c>
      <c r="AB2" s="1">
        <v>48.814604973245203</v>
      </c>
      <c r="AC2" s="1">
        <v>48.758262511803593</v>
      </c>
      <c r="AD2" s="1">
        <v>35.103556814604971</v>
      </c>
      <c r="AE2" s="1">
        <v>34.817752596789433</v>
      </c>
      <c r="AF2" s="1">
        <v>34.909977966635189</v>
      </c>
      <c r="AG2" s="1">
        <v>34.548316021403842</v>
      </c>
      <c r="AH2" s="1">
        <v>33.767390620081841</v>
      </c>
      <c r="AI2" s="1">
        <v>33.425243940824679</v>
      </c>
      <c r="AJ2" s="1">
        <v>1.40050264635709</v>
      </c>
      <c r="AK2" s="1">
        <v>6318.0212418300662</v>
      </c>
      <c r="AL2" s="1">
        <v>8358.0402243589742</v>
      </c>
      <c r="AM2" s="1">
        <v>7002.5460317460311</v>
      </c>
      <c r="AN2" s="1">
        <v>4321.2744336569576</v>
      </c>
      <c r="AO2" s="1">
        <v>3.2647730982696701E-3</v>
      </c>
      <c r="AP2" s="1">
        <v>2.0568070519098921E-2</v>
      </c>
      <c r="AQ2" s="1">
        <v>0.42107309201583998</v>
      </c>
      <c r="AR2" s="1">
        <v>0.346692558734159</v>
      </c>
      <c r="AS2" s="1">
        <v>0.20863701140827601</v>
      </c>
      <c r="AT2" s="1">
        <v>0.107416211555069</v>
      </c>
      <c r="AU2" s="1">
        <v>6.3881258401515498E-2</v>
      </c>
    </row>
    <row r="3" spans="1:47" x14ac:dyDescent="0.3">
      <c r="A3" s="1" t="s">
        <v>48</v>
      </c>
      <c r="B3" s="1" t="s">
        <v>17</v>
      </c>
      <c r="C3" s="1">
        <v>11</v>
      </c>
      <c r="D3" s="1">
        <v>90</v>
      </c>
      <c r="E3" s="1">
        <v>174</v>
      </c>
      <c r="F3" s="1">
        <v>405</v>
      </c>
      <c r="G3" s="1">
        <v>275.76849196238999</v>
      </c>
      <c r="H3" s="1">
        <v>38.629513022848997</v>
      </c>
      <c r="I3" s="1">
        <v>1034832058</v>
      </c>
      <c r="J3" s="1">
        <v>289351.94013800001</v>
      </c>
      <c r="K3" s="1">
        <f t="shared" si="0"/>
        <v>2.796124626224133E-4</v>
      </c>
      <c r="L3" s="1">
        <v>7.9645041008398003</v>
      </c>
      <c r="M3" s="1">
        <v>4.1835769373033997</v>
      </c>
      <c r="N3" s="1">
        <v>28098.130403977</v>
      </c>
      <c r="O3" s="1">
        <v>340577.54537892999</v>
      </c>
      <c r="P3" s="1">
        <v>7.5590166509993999</v>
      </c>
      <c r="Q3" s="1">
        <v>2.3221533990713001</v>
      </c>
      <c r="R3" s="1">
        <v>12.891574134552579</v>
      </c>
      <c r="S3" s="1">
        <v>14.450685826257351</v>
      </c>
      <c r="T3" s="1">
        <v>17.66623122142391</v>
      </c>
      <c r="U3" s="1">
        <v>22.651861528412802</v>
      </c>
      <c r="V3" s="1">
        <v>27.3226649248857</v>
      </c>
      <c r="W3" s="1">
        <v>24.81645983017636</v>
      </c>
      <c r="X3" s="1">
        <v>36.753755715218809</v>
      </c>
      <c r="Y3" s="1">
        <v>39.425865447419987</v>
      </c>
      <c r="Z3" s="1">
        <v>46.881776616590457</v>
      </c>
      <c r="AA3" s="1">
        <v>50.576094056172437</v>
      </c>
      <c r="AB3" s="1">
        <v>54.34421946440235</v>
      </c>
      <c r="AC3" s="1">
        <v>52.098628347485302</v>
      </c>
      <c r="AD3" s="1">
        <v>32.809928151534947</v>
      </c>
      <c r="AE3" s="1">
        <v>33.486610058785111</v>
      </c>
      <c r="AF3" s="1">
        <v>35.542782495101243</v>
      </c>
      <c r="AG3" s="1">
        <v>36.207054212932732</v>
      </c>
      <c r="AH3" s="1">
        <v>36.328543435662972</v>
      </c>
      <c r="AI3" s="1">
        <v>35.33311561071195</v>
      </c>
      <c r="AJ3" s="1">
        <v>4.9142562541000867</v>
      </c>
      <c r="AK3" s="1">
        <v>6473.3832442067751</v>
      </c>
      <c r="AL3" s="1">
        <v>8144.0493881118882</v>
      </c>
      <c r="AM3" s="1">
        <v>6858.2865800865802</v>
      </c>
      <c r="AN3" s="1">
        <v>4498.1879964695499</v>
      </c>
      <c r="AO3" s="1">
        <v>5.9276262489873083E-2</v>
      </c>
      <c r="AP3" s="1">
        <v>3.780718336483932E-3</v>
      </c>
      <c r="AQ3" s="1">
        <v>0.38339965532014397</v>
      </c>
      <c r="AR3" s="1">
        <v>0.24788413763407699</v>
      </c>
      <c r="AS3" s="1">
        <v>0.22894753952702901</v>
      </c>
      <c r="AT3" s="1">
        <v>0.16467381134341899</v>
      </c>
      <c r="AU3" s="1">
        <v>8.7973260189884703E-2</v>
      </c>
    </row>
    <row r="4" spans="1:47" x14ac:dyDescent="0.3">
      <c r="A4" s="1" t="s">
        <v>48</v>
      </c>
      <c r="B4" s="1" t="s">
        <v>18</v>
      </c>
      <c r="C4" s="1">
        <v>12</v>
      </c>
      <c r="D4" s="1">
        <v>90</v>
      </c>
      <c r="E4" s="1">
        <v>170</v>
      </c>
      <c r="F4" s="1">
        <v>405</v>
      </c>
      <c r="G4" s="1">
        <v>289.24714592663997</v>
      </c>
      <c r="H4" s="1">
        <v>40.744969856944998</v>
      </c>
      <c r="I4" s="1">
        <v>621153128</v>
      </c>
      <c r="J4" s="1">
        <v>167498.584118</v>
      </c>
      <c r="K4" s="1">
        <f t="shared" si="0"/>
        <v>2.6965747505339779E-4</v>
      </c>
      <c r="L4" s="1">
        <v>6.9636768871703003</v>
      </c>
      <c r="M4" s="1">
        <v>4.0689202575022998</v>
      </c>
      <c r="N4" s="1">
        <v>29640.274697017001</v>
      </c>
      <c r="O4" s="1">
        <v>314715.38819656998</v>
      </c>
      <c r="P4" s="1">
        <v>7.7392035676472997</v>
      </c>
      <c r="Q4" s="1">
        <v>2.3916925421483</v>
      </c>
      <c r="R4" s="1">
        <v>17.635382955771309</v>
      </c>
      <c r="S4" s="1">
        <v>18.45738942826322</v>
      </c>
      <c r="T4" s="1">
        <v>20.93635382955771</v>
      </c>
      <c r="U4" s="1">
        <v>26.385113268608411</v>
      </c>
      <c r="V4" s="1">
        <v>33.563106796116507</v>
      </c>
      <c r="W4" s="1">
        <v>34.952535059331183</v>
      </c>
      <c r="X4" s="1">
        <v>27.541531823085219</v>
      </c>
      <c r="Y4" s="1">
        <v>26.737864077669901</v>
      </c>
      <c r="Z4" s="1">
        <v>30.442286947141319</v>
      </c>
      <c r="AA4" s="1">
        <v>34.422869471413158</v>
      </c>
      <c r="AB4" s="1">
        <v>41.29665587918015</v>
      </c>
      <c r="AC4" s="1">
        <v>40.133764832793958</v>
      </c>
      <c r="AD4" s="1">
        <v>41.111111111111107</v>
      </c>
      <c r="AE4" s="1">
        <v>41.26860841423948</v>
      </c>
      <c r="AF4" s="1">
        <v>41.378640776699029</v>
      </c>
      <c r="AG4" s="1">
        <v>40.559870550161811</v>
      </c>
      <c r="AH4" s="1">
        <v>38.635382955771313</v>
      </c>
      <c r="AI4" s="1">
        <v>37.918015102481121</v>
      </c>
      <c r="AJ4" s="1">
        <v>5.1542152232538241</v>
      </c>
      <c r="AK4" s="1">
        <v>6376.6239495798318</v>
      </c>
      <c r="AL4" s="1">
        <v>8404.1195054945056</v>
      </c>
      <c r="AM4" s="1">
        <v>6866.3952380952378</v>
      </c>
      <c r="AN4" s="1">
        <v>4180.0221914008316</v>
      </c>
      <c r="AO4" s="1">
        <v>8.7073007367716004E-2</v>
      </c>
      <c r="AP4" s="1">
        <v>8.0375083724045539E-3</v>
      </c>
      <c r="AQ4" s="1">
        <v>0.41591742908826401</v>
      </c>
      <c r="AR4" s="1">
        <v>0.22953357474936101</v>
      </c>
      <c r="AS4" s="1">
        <v>0.34921402264517598</v>
      </c>
      <c r="AT4" s="1">
        <v>0.126098353717219</v>
      </c>
      <c r="AU4" s="1">
        <v>7.7407568559793596E-2</v>
      </c>
    </row>
    <row r="5" spans="1:47" x14ac:dyDescent="0.3">
      <c r="A5" s="1" t="s">
        <v>48</v>
      </c>
      <c r="B5" s="1" t="s">
        <v>19</v>
      </c>
      <c r="C5" s="1">
        <v>13</v>
      </c>
      <c r="D5" s="1">
        <v>90</v>
      </c>
      <c r="E5" s="1">
        <v>164</v>
      </c>
      <c r="F5" s="1">
        <v>424</v>
      </c>
      <c r="G5" s="1">
        <v>308.04062390363998</v>
      </c>
      <c r="H5" s="1">
        <v>47.036986000848003</v>
      </c>
      <c r="I5" s="1">
        <v>551444257</v>
      </c>
      <c r="J5" s="1">
        <v>150546.34435100001</v>
      </c>
      <c r="K5" s="1">
        <f t="shared" si="0"/>
        <v>2.730037396164233E-4</v>
      </c>
      <c r="L5" s="1">
        <v>9.4935050738402005</v>
      </c>
      <c r="M5" s="1">
        <v>4.9677289135686999</v>
      </c>
      <c r="N5" s="1">
        <v>23170.312417765999</v>
      </c>
      <c r="O5" s="1">
        <v>251121.05642077001</v>
      </c>
      <c r="P5" s="1">
        <v>7.3346484180653997</v>
      </c>
      <c r="Q5" s="1">
        <v>2.2369164314056</v>
      </c>
      <c r="R5" s="1">
        <v>22.996328029375761</v>
      </c>
      <c r="S5" s="1">
        <v>22.998776009791921</v>
      </c>
      <c r="T5" s="1">
        <v>23.980416156670749</v>
      </c>
      <c r="U5" s="1">
        <v>25.007343941248472</v>
      </c>
      <c r="V5" s="1">
        <v>26.097919216646272</v>
      </c>
      <c r="W5" s="1">
        <v>25.813953488372089</v>
      </c>
      <c r="X5" s="1">
        <v>19.026927784577719</v>
      </c>
      <c r="Y5" s="1">
        <v>21.028151774785801</v>
      </c>
      <c r="Z5" s="1">
        <v>22.920440636474911</v>
      </c>
      <c r="AA5" s="1">
        <v>27.713586291309671</v>
      </c>
      <c r="AB5" s="1">
        <v>21.713586291309671</v>
      </c>
      <c r="AC5" s="1">
        <v>20.741738066095468</v>
      </c>
      <c r="AD5" s="1">
        <v>55.290085679314558</v>
      </c>
      <c r="AE5" s="1">
        <v>55.290085679314558</v>
      </c>
      <c r="AF5" s="1">
        <v>56.186046511627907</v>
      </c>
      <c r="AG5" s="1">
        <v>55.08200734394125</v>
      </c>
      <c r="AH5" s="1">
        <v>54.872705018359852</v>
      </c>
      <c r="AI5" s="1">
        <v>52.157894736842103</v>
      </c>
      <c r="AJ5" s="1">
        <v>4.430264261736772</v>
      </c>
      <c r="AK5" s="1">
        <v>6411.7016806722686</v>
      </c>
      <c r="AL5" s="1">
        <v>8440.1875</v>
      </c>
      <c r="AM5" s="1">
        <v>7092.6115646258504</v>
      </c>
      <c r="AN5" s="1">
        <v>4308.1990291262127</v>
      </c>
      <c r="AO5" s="1">
        <v>1.7658930373360238E-2</v>
      </c>
      <c r="AP5" s="1">
        <v>0</v>
      </c>
      <c r="AQ5" s="1">
        <v>0.46355631853979301</v>
      </c>
      <c r="AR5" s="1">
        <v>0.20151987258885901</v>
      </c>
      <c r="AS5" s="1">
        <v>0.40605609130279502</v>
      </c>
      <c r="AT5" s="1">
        <v>0.13851605279846299</v>
      </c>
      <c r="AU5" s="1">
        <v>9.3771504866543703E-2</v>
      </c>
    </row>
    <row r="6" spans="1:47" x14ac:dyDescent="0.3">
      <c r="A6" s="1" t="s">
        <v>48</v>
      </c>
      <c r="B6" s="1" t="s">
        <v>20</v>
      </c>
      <c r="C6" s="1">
        <v>14</v>
      </c>
      <c r="D6" s="1">
        <v>90</v>
      </c>
      <c r="E6" s="1">
        <v>188</v>
      </c>
      <c r="F6" s="1">
        <v>378</v>
      </c>
      <c r="G6" s="1">
        <v>299.23053256797999</v>
      </c>
      <c r="H6" s="1">
        <v>16.753024920263002</v>
      </c>
      <c r="I6" s="1">
        <v>526268340</v>
      </c>
      <c r="J6" s="1">
        <v>145085.949123</v>
      </c>
      <c r="K6" s="1">
        <f t="shared" si="0"/>
        <v>2.7568815772387146E-4</v>
      </c>
      <c r="L6" s="1">
        <v>1.4527790812429999</v>
      </c>
      <c r="M6" s="1">
        <v>1.4709898040830001</v>
      </c>
      <c r="N6" s="1">
        <v>25740.315229118001</v>
      </c>
      <c r="O6" s="1">
        <v>284399.95148916001</v>
      </c>
      <c r="P6" s="1">
        <v>9.8118702530502997</v>
      </c>
      <c r="Q6" s="1">
        <v>2.4966302198785999</v>
      </c>
      <c r="R6" s="1">
        <v>17.028202115158638</v>
      </c>
      <c r="S6" s="1">
        <v>17.028202115158638</v>
      </c>
      <c r="T6" s="1">
        <v>18.475910693302001</v>
      </c>
      <c r="U6" s="1">
        <v>20.37132784958872</v>
      </c>
      <c r="V6" s="1">
        <v>26.695652173913039</v>
      </c>
      <c r="W6" s="1">
        <v>32.210340775558173</v>
      </c>
      <c r="X6" s="1">
        <v>9.0188014101057572</v>
      </c>
      <c r="Y6" s="1">
        <v>7.8472385428907172</v>
      </c>
      <c r="Z6" s="1">
        <v>15.56169212690952</v>
      </c>
      <c r="AA6" s="1">
        <v>26.332549941245588</v>
      </c>
      <c r="AB6" s="1">
        <v>15.238542890716801</v>
      </c>
      <c r="AC6" s="1">
        <v>15.238542890716801</v>
      </c>
      <c r="AD6" s="1">
        <v>67.733254994124565</v>
      </c>
      <c r="AE6" s="1">
        <v>67.733254994124565</v>
      </c>
      <c r="AF6" s="1">
        <v>67.733254994124565</v>
      </c>
      <c r="AG6" s="1">
        <v>66.733254994124565</v>
      </c>
      <c r="AH6" s="1">
        <v>64.723854289071681</v>
      </c>
      <c r="AI6" s="1">
        <v>59.81903642773208</v>
      </c>
      <c r="AJ6" s="1">
        <v>-1.6736586424157169</v>
      </c>
      <c r="AK6" s="1">
        <v>5206.333333333333</v>
      </c>
      <c r="AL6" s="1">
        <v>6817.4791666666661</v>
      </c>
      <c r="AM6" s="1">
        <v>5748.5603174603166</v>
      </c>
      <c r="AN6" s="1">
        <v>3411.7435275080902</v>
      </c>
      <c r="AO6" s="1">
        <v>0.9218940688308519</v>
      </c>
      <c r="AP6" s="1">
        <v>1.1227727605565049E-2</v>
      </c>
      <c r="AQ6" s="1">
        <v>0.40774571233920298</v>
      </c>
      <c r="AR6" s="1">
        <v>0.102917907882816</v>
      </c>
      <c r="AS6" s="1">
        <v>0.61269239230635597</v>
      </c>
      <c r="AT6" s="1">
        <v>0.165193527193045</v>
      </c>
      <c r="AU6" s="1">
        <v>9.0644168374517706E-2</v>
      </c>
    </row>
    <row r="7" spans="1:47" x14ac:dyDescent="0.3">
      <c r="A7" s="1" t="s">
        <v>48</v>
      </c>
      <c r="B7" s="1" t="s">
        <v>21</v>
      </c>
      <c r="C7" s="1">
        <v>15</v>
      </c>
      <c r="D7" s="1">
        <v>90</v>
      </c>
      <c r="E7" s="1">
        <v>196</v>
      </c>
      <c r="F7" s="1">
        <v>380</v>
      </c>
      <c r="G7" s="1">
        <v>261.89586342926998</v>
      </c>
      <c r="H7" s="1">
        <v>24.905412955955001</v>
      </c>
      <c r="I7" s="1">
        <v>578365085</v>
      </c>
      <c r="J7" s="1">
        <v>158188.74734599999</v>
      </c>
      <c r="K7" s="1">
        <f t="shared" si="0"/>
        <v>2.7351019528780852E-4</v>
      </c>
      <c r="L7" s="1">
        <v>3.8070065304190002</v>
      </c>
      <c r="M7" s="1">
        <v>3.0721649608442001</v>
      </c>
      <c r="N7" s="1">
        <v>27379.458693275999</v>
      </c>
      <c r="O7" s="1">
        <v>294999.25034654001</v>
      </c>
      <c r="P7" s="1">
        <v>8.4158667649066903</v>
      </c>
      <c r="Q7" s="1">
        <v>2.2416573821902999</v>
      </c>
      <c r="R7" s="1">
        <v>23.592592592592592</v>
      </c>
      <c r="S7" s="1">
        <v>24.387731481481481</v>
      </c>
      <c r="T7" s="1">
        <v>26.61574074074074</v>
      </c>
      <c r="U7" s="1">
        <v>32.026620370370367</v>
      </c>
      <c r="V7" s="1">
        <v>40.368055555555557</v>
      </c>
      <c r="W7" s="1">
        <v>44.893518518518519</v>
      </c>
      <c r="X7" s="1">
        <v>14.986111111111111</v>
      </c>
      <c r="Y7" s="1">
        <v>12.574074074074071</v>
      </c>
      <c r="Z7" s="1">
        <v>22.538194444444439</v>
      </c>
      <c r="AA7" s="1">
        <v>24.773148148148149</v>
      </c>
      <c r="AB7" s="1">
        <v>27.612268518518519</v>
      </c>
      <c r="AC7" s="1">
        <v>27.425925925925931</v>
      </c>
      <c r="AD7" s="1">
        <v>48.432870370370367</v>
      </c>
      <c r="AE7" s="1">
        <v>48.461805555555557</v>
      </c>
      <c r="AF7" s="1">
        <v>48.017361111111107</v>
      </c>
      <c r="AG7" s="1">
        <v>47.270833333333343</v>
      </c>
      <c r="AH7" s="1">
        <v>44.418981481481481</v>
      </c>
      <c r="AI7" s="1">
        <v>41.043981481481481</v>
      </c>
      <c r="AJ7" s="1">
        <v>7.3104238036955014</v>
      </c>
      <c r="AK7" s="1">
        <v>6275.8155637254904</v>
      </c>
      <c r="AL7" s="1">
        <v>7276.4296875</v>
      </c>
      <c r="AM7" s="1">
        <v>6399.716071428571</v>
      </c>
      <c r="AN7" s="1">
        <v>4250.6601941747576</v>
      </c>
      <c r="AO7" s="1">
        <v>0.71076555023923449</v>
      </c>
      <c r="AP7" s="1">
        <v>0</v>
      </c>
      <c r="AQ7" s="1">
        <v>0.45304590266335298</v>
      </c>
      <c r="AR7" s="1">
        <v>0.15402850049745301</v>
      </c>
      <c r="AS7" s="1">
        <v>0.45531245030009498</v>
      </c>
      <c r="AT7" s="1">
        <v>0.16854756051085401</v>
      </c>
      <c r="AU7" s="1">
        <v>8.3886680613066297E-2</v>
      </c>
    </row>
    <row r="8" spans="1:47" x14ac:dyDescent="0.3">
      <c r="A8" s="1" t="s">
        <v>48</v>
      </c>
      <c r="B8" s="1" t="s">
        <v>22</v>
      </c>
      <c r="C8" s="1">
        <v>16</v>
      </c>
      <c r="D8" s="1">
        <v>90</v>
      </c>
      <c r="E8" s="1">
        <v>158</v>
      </c>
      <c r="F8" s="1">
        <v>325</v>
      </c>
      <c r="G8" s="1">
        <v>257.57091664465997</v>
      </c>
      <c r="H8" s="1">
        <v>25.073527103459998</v>
      </c>
      <c r="I8" s="1">
        <v>1130953306</v>
      </c>
      <c r="J8" s="1">
        <v>366268.64748400002</v>
      </c>
      <c r="K8" s="1">
        <f t="shared" si="0"/>
        <v>3.2385832866914138E-4</v>
      </c>
      <c r="L8" s="1">
        <v>4.1334325312385998</v>
      </c>
      <c r="M8" s="1">
        <v>2.2651911435897998</v>
      </c>
      <c r="N8" s="1">
        <v>36524.993005867997</v>
      </c>
      <c r="O8" s="1">
        <v>445062.59758514998</v>
      </c>
      <c r="P8" s="1">
        <v>8.2171120527204007</v>
      </c>
      <c r="Q8" s="1">
        <v>2.2060045410245999</v>
      </c>
      <c r="R8" s="1">
        <v>33.700773349196908</v>
      </c>
      <c r="S8" s="1">
        <v>34.57584770969661</v>
      </c>
      <c r="T8" s="1">
        <v>35.684116597263532</v>
      </c>
      <c r="U8" s="1">
        <v>39.775728732897093</v>
      </c>
      <c r="V8" s="1">
        <v>46.067221891731123</v>
      </c>
      <c r="W8" s="1">
        <v>49.175490779298038</v>
      </c>
      <c r="X8" s="1">
        <v>6.1249256395002973</v>
      </c>
      <c r="Y8" s="1">
        <v>5.233194527067222</v>
      </c>
      <c r="Z8" s="1">
        <v>17.008328375966691</v>
      </c>
      <c r="AA8" s="1">
        <v>21.60856632956574</v>
      </c>
      <c r="AB8" s="1">
        <v>14.84949434860202</v>
      </c>
      <c r="AC8" s="1">
        <v>14.84949434860202</v>
      </c>
      <c r="AD8" s="1">
        <v>51.44973230220107</v>
      </c>
      <c r="AE8" s="1">
        <v>51.44973230220107</v>
      </c>
      <c r="AF8" s="1">
        <v>50.574657941701368</v>
      </c>
      <c r="AG8" s="1">
        <v>49.68292682926829</v>
      </c>
      <c r="AH8" s="1">
        <v>47.68292682926829</v>
      </c>
      <c r="AI8" s="1">
        <v>44.71624033313504</v>
      </c>
      <c r="AJ8" s="1">
        <v>7.7593841175065581</v>
      </c>
      <c r="AK8" s="1">
        <v>6359.0706459054209</v>
      </c>
      <c r="AL8" s="1">
        <v>7793.3699095022621</v>
      </c>
      <c r="AM8" s="1">
        <v>6537.8044817927184</v>
      </c>
      <c r="AN8" s="1">
        <v>4408.2381496287844</v>
      </c>
      <c r="AO8" s="1">
        <v>0.29275789991393092</v>
      </c>
      <c r="AP8" s="1">
        <v>5.5330136481003319E-3</v>
      </c>
      <c r="AQ8" s="1">
        <v>0.46578135412972299</v>
      </c>
      <c r="AR8" s="1">
        <v>0.12892405675103599</v>
      </c>
      <c r="AS8" s="1">
        <v>0.53392889335308202</v>
      </c>
      <c r="AT8" s="1">
        <v>0.149546991458965</v>
      </c>
      <c r="AU8" s="1">
        <v>0.168922149834556</v>
      </c>
    </row>
    <row r="9" spans="1:47" x14ac:dyDescent="0.3">
      <c r="A9" s="1" t="s">
        <v>48</v>
      </c>
      <c r="B9" s="1" t="s">
        <v>23</v>
      </c>
      <c r="C9" s="1">
        <v>17</v>
      </c>
      <c r="D9" s="1">
        <v>90</v>
      </c>
      <c r="E9" s="1">
        <v>178</v>
      </c>
      <c r="F9" s="1">
        <v>1126</v>
      </c>
      <c r="G9" s="1">
        <v>467.28145174471001</v>
      </c>
      <c r="H9" s="1">
        <v>159.38891023538</v>
      </c>
      <c r="I9" s="1">
        <v>5544679176</v>
      </c>
      <c r="J9" s="1">
        <v>1548930.599218</v>
      </c>
      <c r="K9" s="1">
        <f t="shared" si="0"/>
        <v>2.793544134929404E-4</v>
      </c>
      <c r="L9" s="1">
        <v>15.623035087930999</v>
      </c>
      <c r="M9" s="1">
        <v>7.1740012580906001</v>
      </c>
      <c r="N9" s="1">
        <v>78731.225580918996</v>
      </c>
      <c r="O9" s="1">
        <v>1395307.9890262999</v>
      </c>
      <c r="P9" s="1">
        <v>6.7795408881833001</v>
      </c>
      <c r="Q9" s="1">
        <v>2.2622219884055998</v>
      </c>
      <c r="R9" s="1">
        <v>16.38257343001106</v>
      </c>
      <c r="S9" s="1">
        <v>16.419687845643359</v>
      </c>
      <c r="T9" s="1">
        <v>17.449551431731599</v>
      </c>
      <c r="U9" s="1">
        <v>18.600835688828809</v>
      </c>
      <c r="V9" s="1">
        <v>21.07951333415264</v>
      </c>
      <c r="W9" s="1">
        <v>21.621605014132971</v>
      </c>
      <c r="X9" s="1">
        <v>41.348531399778793</v>
      </c>
      <c r="Y9" s="1">
        <v>40.637827209045099</v>
      </c>
      <c r="Z9" s="1">
        <v>45.778542460366218</v>
      </c>
      <c r="AA9" s="1">
        <v>49.746958338453979</v>
      </c>
      <c r="AB9" s="1">
        <v>44.467617057883743</v>
      </c>
      <c r="AC9" s="1">
        <v>44.394371389947153</v>
      </c>
      <c r="AD9" s="1">
        <v>39.14464790463316</v>
      </c>
      <c r="AE9" s="1">
        <v>39.141452623817131</v>
      </c>
      <c r="AF9" s="1">
        <v>38.639916431117122</v>
      </c>
      <c r="AG9" s="1">
        <v>38.301585350866411</v>
      </c>
      <c r="AH9" s="1">
        <v>37.580926631436647</v>
      </c>
      <c r="AI9" s="1">
        <v>37.338822661914712</v>
      </c>
      <c r="AJ9" s="1">
        <v>4.4225262777304843</v>
      </c>
      <c r="AK9" s="1">
        <v>6384.5403655289274</v>
      </c>
      <c r="AL9" s="1">
        <v>8321.86829297246</v>
      </c>
      <c r="AM9" s="1">
        <v>6876.0891828336262</v>
      </c>
      <c r="AN9" s="1">
        <v>4299.9784849574498</v>
      </c>
      <c r="AO9" s="1">
        <v>1.53375796178344E-2</v>
      </c>
      <c r="AP9" s="1">
        <v>3.1133757961783439E-2</v>
      </c>
      <c r="AQ9" s="1">
        <v>0.36010268596822298</v>
      </c>
      <c r="AR9" s="1">
        <v>0.36584812383682302</v>
      </c>
      <c r="AS9" s="1">
        <v>0.222574747130764</v>
      </c>
      <c r="AT9" s="1">
        <v>0.12329371842622699</v>
      </c>
      <c r="AU9" s="1">
        <v>5.8666756156264099E-2</v>
      </c>
    </row>
    <row r="10" spans="1:47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47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47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47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47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47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47" x14ac:dyDescent="0.3">
      <c r="A16" s="1"/>
      <c r="B16" s="1"/>
      <c r="C16" s="1"/>
      <c r="D16" s="1"/>
      <c r="E16" s="1"/>
      <c r="F16" s="1"/>
      <c r="G16" s="1"/>
      <c r="H16" s="1"/>
      <c r="I1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36814-C31F-448A-976C-FB7613872C4A}">
  <dimension ref="A1:AU21"/>
  <sheetViews>
    <sheetView topLeftCell="AF1" workbookViewId="0">
      <selection activeCell="R1" sqref="R1:AP8"/>
    </sheetView>
  </sheetViews>
  <sheetFormatPr defaultRowHeight="14" x14ac:dyDescent="0.3"/>
  <cols>
    <col min="1" max="1" width="9.9140625" bestFit="1" customWidth="1"/>
    <col min="2" max="2" width="15.4140625" bestFit="1" customWidth="1"/>
    <col min="3" max="3" width="3.1640625" bestFit="1" customWidth="1"/>
    <col min="4" max="4" width="9" bestFit="1" customWidth="1"/>
    <col min="5" max="5" width="5.9140625" bestFit="1" customWidth="1"/>
    <col min="6" max="6" width="6.25" bestFit="1" customWidth="1"/>
    <col min="7" max="8" width="12.33203125" bestFit="1" customWidth="1"/>
    <col min="9" max="9" width="11.25" bestFit="1" customWidth="1"/>
    <col min="10" max="35" width="12.33203125" bestFit="1" customWidth="1"/>
    <col min="36" max="36" width="13.33203125" bestFit="1" customWidth="1"/>
    <col min="37" max="40" width="12.33203125" bestFit="1" customWidth="1"/>
    <col min="41" max="41" width="8.5" bestFit="1" customWidth="1"/>
    <col min="42" max="42" width="17.33203125" bestFit="1" customWidth="1"/>
    <col min="43" max="45" width="12.33203125" bestFit="1" customWidth="1"/>
    <col min="46" max="46" width="14.6640625" bestFit="1" customWidth="1"/>
    <col min="47" max="47" width="12.33203125" bestFit="1" customWidth="1"/>
  </cols>
  <sheetData>
    <row r="1" spans="1:47" x14ac:dyDescent="0.3">
      <c r="A1" s="3" t="s">
        <v>46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75</v>
      </c>
      <c r="AK1" s="3" t="s">
        <v>76</v>
      </c>
      <c r="AL1" s="3" t="s">
        <v>70</v>
      </c>
      <c r="AM1" s="3" t="s">
        <v>71</v>
      </c>
      <c r="AN1" s="3" t="s">
        <v>72</v>
      </c>
      <c r="AO1" s="3" t="s">
        <v>77</v>
      </c>
      <c r="AP1" s="3" t="s">
        <v>78</v>
      </c>
      <c r="AQ1" s="3" t="s">
        <v>40</v>
      </c>
      <c r="AR1" s="3" t="s">
        <v>41</v>
      </c>
      <c r="AS1" s="3" t="s">
        <v>42</v>
      </c>
      <c r="AT1" s="3" t="s">
        <v>44</v>
      </c>
      <c r="AU1" s="3" t="s">
        <v>43</v>
      </c>
    </row>
    <row r="2" spans="1:47" x14ac:dyDescent="0.3">
      <c r="A2" s="1" t="s">
        <v>49</v>
      </c>
      <c r="B2" s="1" t="s">
        <v>24</v>
      </c>
      <c r="C2" s="1">
        <v>19</v>
      </c>
      <c r="D2" s="1">
        <v>90</v>
      </c>
      <c r="E2" s="1">
        <v>675</v>
      </c>
      <c r="F2" s="1">
        <v>2393</v>
      </c>
      <c r="G2" s="1">
        <v>1502.2561644317</v>
      </c>
      <c r="H2" s="1">
        <v>337.23209099938998</v>
      </c>
      <c r="I2" s="1">
        <v>4130724144</v>
      </c>
      <c r="J2" s="1">
        <v>960350.455907</v>
      </c>
      <c r="K2" s="1">
        <f t="shared" ref="K2:K8" si="0">J2/I2</f>
        <v>2.3248961257844769E-4</v>
      </c>
      <c r="L2" s="1">
        <v>17.54968954736</v>
      </c>
      <c r="M2" s="1">
        <v>9.6377791510010002</v>
      </c>
      <c r="N2" s="1">
        <v>61223.986113576</v>
      </c>
      <c r="O2" s="1">
        <v>1108922.7720981</v>
      </c>
      <c r="P2" s="1">
        <v>7.0885302459678998</v>
      </c>
      <c r="Q2" s="1">
        <v>2.3737319817324001</v>
      </c>
      <c r="R2" s="1">
        <v>13.76843540506761</v>
      </c>
      <c r="S2" s="1">
        <v>14.66617429837518</v>
      </c>
      <c r="T2" s="1">
        <v>14.774798318372911</v>
      </c>
      <c r="U2" s="1">
        <v>16.814566526531081</v>
      </c>
      <c r="V2" s="1">
        <v>21.59731848653562</v>
      </c>
      <c r="W2" s="1">
        <v>23.79184183615498</v>
      </c>
      <c r="X2" s="1">
        <v>40.648789910237483</v>
      </c>
      <c r="Y2" s="1">
        <v>40.592432678104757</v>
      </c>
      <c r="Z2" s="1">
        <v>41.592432678104757</v>
      </c>
      <c r="AA2" s="1">
        <v>40.485058516077721</v>
      </c>
      <c r="AB2" s="1">
        <v>45.235200545392573</v>
      </c>
      <c r="AC2" s="1">
        <v>45.235200545392573</v>
      </c>
      <c r="AD2" s="1">
        <v>39.91069196682195</v>
      </c>
      <c r="AE2" s="1">
        <v>40.802067946824216</v>
      </c>
      <c r="AF2" s="1">
        <v>42.603454152937168</v>
      </c>
      <c r="AG2" s="1">
        <v>35.985910691966822</v>
      </c>
      <c r="AH2" s="1">
        <v>34.661856607203717</v>
      </c>
      <c r="AI2" s="1">
        <v>32.678445631178278</v>
      </c>
      <c r="AJ2" s="1">
        <v>-4.8139127243121713</v>
      </c>
      <c r="AK2" s="1">
        <v>1491.1232174688059</v>
      </c>
      <c r="AL2" s="1">
        <v>5727.1363090034956</v>
      </c>
      <c r="AM2" s="1">
        <v>3496.7596861471861</v>
      </c>
      <c r="AN2" s="1">
        <v>942.87091791703426</v>
      </c>
      <c r="AO2" s="1">
        <v>0</v>
      </c>
      <c r="AP2" s="1">
        <v>0</v>
      </c>
      <c r="AQ2" s="1">
        <v>0.50686562176458605</v>
      </c>
      <c r="AR2" s="1">
        <v>0.52515177545610503</v>
      </c>
      <c r="AS2" s="1">
        <v>5.8042262579007901E-2</v>
      </c>
      <c r="AT2" s="1">
        <v>3.79362267343391E-2</v>
      </c>
      <c r="AU2" s="1">
        <v>3.5459588162715598E-2</v>
      </c>
    </row>
    <row r="3" spans="1:47" x14ac:dyDescent="0.3">
      <c r="A3" s="1" t="s">
        <v>49</v>
      </c>
      <c r="B3" s="1" t="s">
        <v>25</v>
      </c>
      <c r="C3" s="1">
        <v>20</v>
      </c>
      <c r="D3" s="1">
        <v>90</v>
      </c>
      <c r="E3" s="1">
        <v>757</v>
      </c>
      <c r="F3" s="1">
        <v>2870</v>
      </c>
      <c r="G3" s="1">
        <v>1554.6304552349</v>
      </c>
      <c r="H3" s="1">
        <v>352.01299022958</v>
      </c>
      <c r="I3" s="1">
        <v>1678459723</v>
      </c>
      <c r="J3" s="1">
        <v>388139.42515600001</v>
      </c>
      <c r="K3" s="1">
        <f t="shared" si="0"/>
        <v>2.3124738701638776E-4</v>
      </c>
      <c r="L3" s="1">
        <v>22.721050354709998</v>
      </c>
      <c r="M3" s="1">
        <v>9.8420945271803006</v>
      </c>
      <c r="N3" s="1">
        <v>41204.301700741999</v>
      </c>
      <c r="O3" s="1">
        <v>645031.55363970995</v>
      </c>
      <c r="P3" s="1">
        <v>6.5455999016278996</v>
      </c>
      <c r="Q3" s="1">
        <v>2.1229963355750998</v>
      </c>
      <c r="R3" s="1">
        <v>14.03765227021041</v>
      </c>
      <c r="S3" s="1">
        <v>14.556478405315611</v>
      </c>
      <c r="T3" s="1">
        <v>16.03266888150609</v>
      </c>
      <c r="U3" s="1">
        <v>17.58914728682171</v>
      </c>
      <c r="V3" s="1">
        <v>19.145625692137319</v>
      </c>
      <c r="W3" s="1">
        <v>22.258582502768551</v>
      </c>
      <c r="X3" s="1">
        <v>46.144795127353269</v>
      </c>
      <c r="Y3" s="1">
        <v>46.144795127353269</v>
      </c>
      <c r="Z3" s="1">
        <v>46.66362126245847</v>
      </c>
      <c r="AA3" s="1">
        <v>40.437707641196013</v>
      </c>
      <c r="AB3" s="1">
        <v>47.661129568106311</v>
      </c>
      <c r="AC3" s="1">
        <v>47.661129568106311</v>
      </c>
      <c r="AD3" s="1">
        <v>37.263565891472872</v>
      </c>
      <c r="AE3" s="1">
        <v>37.263565891472872</v>
      </c>
      <c r="AF3" s="1">
        <v>36.744739756367657</v>
      </c>
      <c r="AG3" s="1">
        <v>34.749723145071982</v>
      </c>
      <c r="AH3" s="1">
        <v>31.63676633444075</v>
      </c>
      <c r="AI3" s="1">
        <v>30.080287929125141</v>
      </c>
      <c r="AJ3" s="1">
        <v>4.5744745783247467</v>
      </c>
      <c r="AK3" s="1">
        <v>1805.9901960784309</v>
      </c>
      <c r="AL3" s="1">
        <v>5790.3787393162393</v>
      </c>
      <c r="AM3" s="1">
        <v>3413.6563492063492</v>
      </c>
      <c r="AN3" s="1">
        <v>1194.673274002158</v>
      </c>
      <c r="AO3" s="1">
        <v>0</v>
      </c>
      <c r="AP3" s="1">
        <v>0</v>
      </c>
      <c r="AQ3" s="1">
        <v>0.65386627307376499</v>
      </c>
      <c r="AR3" s="1">
        <v>0.52509009659749195</v>
      </c>
      <c r="AS3" s="1">
        <v>5.84803352341592E-2</v>
      </c>
      <c r="AT3" s="1">
        <v>4.3006800450671699E-2</v>
      </c>
      <c r="AU3" s="1">
        <v>3.25642269568766E-2</v>
      </c>
    </row>
    <row r="4" spans="1:47" x14ac:dyDescent="0.3">
      <c r="A4" s="1" t="s">
        <v>49</v>
      </c>
      <c r="B4" s="1" t="s">
        <v>26</v>
      </c>
      <c r="C4" s="1">
        <v>21</v>
      </c>
      <c r="D4" s="1">
        <v>90</v>
      </c>
      <c r="E4" s="1">
        <v>711</v>
      </c>
      <c r="F4" s="1">
        <v>2561</v>
      </c>
      <c r="G4" s="1">
        <v>1482.9314211144999</v>
      </c>
      <c r="H4" s="1">
        <v>318.64410019578003</v>
      </c>
      <c r="I4" s="1">
        <v>2186553869</v>
      </c>
      <c r="J4" s="1">
        <v>532826.74791100004</v>
      </c>
      <c r="K4" s="1">
        <f t="shared" si="0"/>
        <v>2.4368333909590957E-4</v>
      </c>
      <c r="L4" s="1">
        <v>22.126803943534</v>
      </c>
      <c r="M4" s="1">
        <v>9.8417937079207007</v>
      </c>
      <c r="N4" s="1">
        <v>46973.734087370001</v>
      </c>
      <c r="O4" s="1">
        <v>737037.50512678002</v>
      </c>
      <c r="P4" s="1">
        <v>6.6346429884519997</v>
      </c>
      <c r="Q4" s="1">
        <v>2.2152780467865001</v>
      </c>
      <c r="R4" s="1">
        <v>13.725317272531729</v>
      </c>
      <c r="S4" s="1">
        <v>14.08797590879759</v>
      </c>
      <c r="T4" s="1">
        <v>15.725317272531729</v>
      </c>
      <c r="U4" s="1">
        <v>16.813293181329321</v>
      </c>
      <c r="V4" s="1">
        <v>17.90126909012691</v>
      </c>
      <c r="W4" s="1">
        <v>20.07722090772209</v>
      </c>
      <c r="X4" s="1">
        <v>49.109485910948592</v>
      </c>
      <c r="Y4" s="1">
        <v>49.109485910948592</v>
      </c>
      <c r="Z4" s="1">
        <v>49.472144547214462</v>
      </c>
      <c r="AA4" s="1">
        <v>45.120240912024087</v>
      </c>
      <c r="AB4" s="1">
        <v>50.472144547214462</v>
      </c>
      <c r="AC4" s="1">
        <v>50.472144547214462</v>
      </c>
      <c r="AD4" s="1">
        <v>35.077220907722086</v>
      </c>
      <c r="AE4" s="1">
        <v>35.077220907722086</v>
      </c>
      <c r="AF4" s="1">
        <v>34.714562271456217</v>
      </c>
      <c r="AG4" s="1">
        <v>32.714562271456217</v>
      </c>
      <c r="AH4" s="1">
        <v>30.53861045386105</v>
      </c>
      <c r="AI4" s="1">
        <v>29.450634545063451</v>
      </c>
      <c r="AJ4" s="1">
        <v>-3.783416001786613</v>
      </c>
      <c r="AK4" s="1">
        <v>1674.347385620915</v>
      </c>
      <c r="AL4" s="1">
        <v>6041.7554487179486</v>
      </c>
      <c r="AM4" s="1">
        <v>3562.074920634921</v>
      </c>
      <c r="AN4" s="1">
        <v>1167.443689320389</v>
      </c>
      <c r="AO4" s="1">
        <v>0</v>
      </c>
      <c r="AP4" s="1">
        <v>0</v>
      </c>
      <c r="AQ4" s="1">
        <v>0.64628928253683704</v>
      </c>
      <c r="AR4" s="1">
        <v>0.50303668415726199</v>
      </c>
      <c r="AS4" s="1">
        <v>5.6719081500311401E-2</v>
      </c>
      <c r="AT4" s="1">
        <v>4.2683661597027703E-2</v>
      </c>
      <c r="AU4" s="1">
        <v>3.0979839302861498E-2</v>
      </c>
    </row>
    <row r="5" spans="1:47" x14ac:dyDescent="0.3">
      <c r="A5" s="1" t="s">
        <v>49</v>
      </c>
      <c r="B5" s="1" t="s">
        <v>27</v>
      </c>
      <c r="C5" s="1">
        <v>22</v>
      </c>
      <c r="D5" s="1">
        <v>90</v>
      </c>
      <c r="E5" s="1">
        <v>802</v>
      </c>
      <c r="F5" s="1">
        <v>2407</v>
      </c>
      <c r="G5" s="1">
        <v>1391.0367327412</v>
      </c>
      <c r="H5" s="1">
        <v>288.62808071665</v>
      </c>
      <c r="I5" s="1">
        <v>1930036366</v>
      </c>
      <c r="J5" s="1">
        <v>475308.27671599999</v>
      </c>
      <c r="K5" s="1">
        <f t="shared" si="0"/>
        <v>2.462690781837838E-4</v>
      </c>
      <c r="L5" s="1">
        <v>16.801483461326999</v>
      </c>
      <c r="M5" s="1">
        <v>9.7869014773262997</v>
      </c>
      <c r="N5" s="1">
        <v>36273.190339699999</v>
      </c>
      <c r="O5" s="1">
        <v>579901.96103861998</v>
      </c>
      <c r="P5" s="1">
        <v>7.1355403478524</v>
      </c>
      <c r="Q5" s="1">
        <v>2.4225729536785998</v>
      </c>
      <c r="R5" s="1">
        <v>14</v>
      </c>
      <c r="S5" s="1">
        <v>15</v>
      </c>
      <c r="T5" s="1">
        <v>15</v>
      </c>
      <c r="U5" s="1">
        <v>17</v>
      </c>
      <c r="V5" s="1">
        <v>22</v>
      </c>
      <c r="W5" s="1">
        <v>24</v>
      </c>
      <c r="X5" s="1">
        <v>40</v>
      </c>
      <c r="Y5" s="1">
        <v>40</v>
      </c>
      <c r="Z5" s="1">
        <v>41</v>
      </c>
      <c r="AA5" s="1">
        <v>41</v>
      </c>
      <c r="AB5" s="1">
        <v>45</v>
      </c>
      <c r="AC5" s="1">
        <v>45</v>
      </c>
      <c r="AD5" s="1">
        <v>40</v>
      </c>
      <c r="AE5" s="1">
        <v>41</v>
      </c>
      <c r="AF5" s="1">
        <v>43</v>
      </c>
      <c r="AG5" s="1">
        <v>36</v>
      </c>
      <c r="AH5" s="1">
        <v>35</v>
      </c>
      <c r="AI5" s="1">
        <v>33</v>
      </c>
      <c r="AJ5" s="1">
        <v>-14.611372790400999</v>
      </c>
      <c r="AK5" s="1">
        <v>2247.299535603715</v>
      </c>
      <c r="AL5" s="1">
        <v>6200.5306174089064</v>
      </c>
      <c r="AM5" s="1">
        <v>4211.0884711779436</v>
      </c>
      <c r="AN5" s="1">
        <v>1791.0762646908529</v>
      </c>
      <c r="AO5" s="1">
        <v>0</v>
      </c>
      <c r="AP5" s="1">
        <v>0</v>
      </c>
      <c r="AQ5" s="1">
        <v>0.68121390113926195</v>
      </c>
      <c r="AR5" s="1">
        <v>0.49490143939714798</v>
      </c>
      <c r="AS5" s="1">
        <v>5.74646713916174E-2</v>
      </c>
      <c r="AT5" s="1">
        <v>4.3878219048147399E-2</v>
      </c>
      <c r="AU5" s="1">
        <v>3.7018030012281898E-2</v>
      </c>
    </row>
    <row r="6" spans="1:47" x14ac:dyDescent="0.3">
      <c r="A6" s="1" t="s">
        <v>49</v>
      </c>
      <c r="B6" s="1" t="s">
        <v>28</v>
      </c>
      <c r="C6" s="1">
        <v>23</v>
      </c>
      <c r="D6" s="1">
        <v>90</v>
      </c>
      <c r="E6" s="1">
        <v>761</v>
      </c>
      <c r="F6" s="1">
        <v>2891</v>
      </c>
      <c r="G6" s="1">
        <v>1492.8636224751001</v>
      </c>
      <c r="H6" s="1">
        <v>398.18642643449999</v>
      </c>
      <c r="I6" s="1">
        <v>2404464147</v>
      </c>
      <c r="J6" s="1">
        <v>563544.71174499998</v>
      </c>
      <c r="K6" s="1">
        <f t="shared" si="0"/>
        <v>2.3437434592157383E-4</v>
      </c>
      <c r="L6" s="1">
        <v>20.115321453031999</v>
      </c>
      <c r="M6" s="1">
        <v>11.227781966929999</v>
      </c>
      <c r="N6" s="1">
        <v>53629.974142124003</v>
      </c>
      <c r="O6" s="1">
        <v>824599.57054479001</v>
      </c>
      <c r="P6" s="1">
        <v>6.9433103989478999</v>
      </c>
      <c r="Q6" s="1">
        <v>2.5764192580843002</v>
      </c>
      <c r="R6" s="1">
        <v>14.4449322389769</v>
      </c>
      <c r="S6" s="1">
        <v>15.155182286695929</v>
      </c>
      <c r="T6" s="1">
        <v>16.338423363237261</v>
      </c>
      <c r="U6" s="1">
        <v>18.469173506394348</v>
      </c>
      <c r="V6" s="1">
        <v>20.599923649551439</v>
      </c>
      <c r="W6" s="1">
        <v>24.86142393586562</v>
      </c>
      <c r="X6" s="1">
        <v>42.300248138957819</v>
      </c>
      <c r="Y6" s="1">
        <v>42.300248138957819</v>
      </c>
      <c r="Z6" s="1">
        <v>43.010498186676848</v>
      </c>
      <c r="AA6" s="1">
        <v>34.487497614048479</v>
      </c>
      <c r="AB6" s="1">
        <v>43.957243748807016</v>
      </c>
      <c r="AC6" s="1">
        <v>43.957243748807016</v>
      </c>
      <c r="AD6" s="1">
        <v>40.138385188012982</v>
      </c>
      <c r="AE6" s="1">
        <v>40.138385188012982</v>
      </c>
      <c r="AF6" s="1">
        <v>39.428135140293953</v>
      </c>
      <c r="AG6" s="1">
        <v>37.534644016033603</v>
      </c>
      <c r="AH6" s="1">
        <v>33.273143729719408</v>
      </c>
      <c r="AI6" s="1">
        <v>31.142393586562321</v>
      </c>
      <c r="AJ6" s="1">
        <v>9.5516221768510139</v>
      </c>
      <c r="AK6" s="1">
        <v>1331.5915032679741</v>
      </c>
      <c r="AL6" s="1">
        <v>5642.8508672699854</v>
      </c>
      <c r="AM6" s="1">
        <v>3132.2608776844072</v>
      </c>
      <c r="AN6" s="1">
        <v>741.79697315819544</v>
      </c>
      <c r="AO6" s="1">
        <v>0</v>
      </c>
      <c r="AP6" s="1">
        <v>0</v>
      </c>
      <c r="AQ6" s="1">
        <v>0.77048234176233299</v>
      </c>
      <c r="AR6" s="1">
        <v>0.57388478666476095</v>
      </c>
      <c r="AS6" s="1">
        <v>5.1793394639902297E-2</v>
      </c>
      <c r="AT6" s="1">
        <v>3.8459183713813398E-2</v>
      </c>
      <c r="AU6" s="1">
        <v>3.2537562796088902E-2</v>
      </c>
    </row>
    <row r="7" spans="1:47" x14ac:dyDescent="0.3">
      <c r="A7" s="1" t="s">
        <v>49</v>
      </c>
      <c r="B7" s="1" t="s">
        <v>29</v>
      </c>
      <c r="C7" s="1">
        <v>24</v>
      </c>
      <c r="D7" s="1">
        <v>90</v>
      </c>
      <c r="E7" s="1">
        <v>736</v>
      </c>
      <c r="F7" s="1">
        <v>2388</v>
      </c>
      <c r="G7" s="1">
        <v>1296.5083647926001</v>
      </c>
      <c r="H7" s="1">
        <v>282.52125481595999</v>
      </c>
      <c r="I7" s="1">
        <v>5470879707</v>
      </c>
      <c r="J7" s="1">
        <v>1384048.7999179999</v>
      </c>
      <c r="K7" s="1">
        <f t="shared" si="0"/>
        <v>2.5298468875985464E-4</v>
      </c>
      <c r="L7" s="1">
        <v>13.453377183835</v>
      </c>
      <c r="M7" s="1">
        <v>9.0445238469780005</v>
      </c>
      <c r="N7" s="1">
        <v>73643.309495112</v>
      </c>
      <c r="O7" s="1">
        <v>1481871.6013726001</v>
      </c>
      <c r="P7" s="1">
        <v>7.4521798476093002</v>
      </c>
      <c r="Q7" s="1">
        <v>2.5120376370856001</v>
      </c>
      <c r="R7" s="1">
        <v>13.398677455842691</v>
      </c>
      <c r="S7" s="1">
        <v>13.80518576524841</v>
      </c>
      <c r="T7" s="1">
        <v>14.103889323936309</v>
      </c>
      <c r="U7" s="1">
        <v>16.697381014530581</v>
      </c>
      <c r="V7" s="1">
        <v>20.80518576524841</v>
      </c>
      <c r="W7" s="1">
        <v>24.88044896893761</v>
      </c>
      <c r="X7" s="1">
        <v>42.098755764378318</v>
      </c>
      <c r="Y7" s="1">
        <v>41.505264073784041</v>
      </c>
      <c r="Z7" s="1">
        <v>42.505264073784041</v>
      </c>
      <c r="AA7" s="1">
        <v>33.905507700339342</v>
      </c>
      <c r="AB7" s="1">
        <v>43.533890194031152</v>
      </c>
      <c r="AC7" s="1">
        <v>43.533890194031152</v>
      </c>
      <c r="AD7" s="1">
        <v>41.768728791438257</v>
      </c>
      <c r="AE7" s="1">
        <v>42.175237100843987</v>
      </c>
      <c r="AF7" s="1">
        <v>42.096058470373272</v>
      </c>
      <c r="AG7" s="1">
        <v>38.063516923344643</v>
      </c>
      <c r="AH7" s="1">
        <v>33.207778647872622</v>
      </c>
      <c r="AI7" s="1">
        <v>30.912990515966239</v>
      </c>
      <c r="AJ7" s="1">
        <v>-12.1491751878012</v>
      </c>
      <c r="AK7" s="1">
        <v>2989.5857630008518</v>
      </c>
      <c r="AL7" s="1">
        <v>6518.7005852842813</v>
      </c>
      <c r="AM7" s="1">
        <v>4281.0062939958589</v>
      </c>
      <c r="AN7" s="1">
        <v>2287.2468130012662</v>
      </c>
      <c r="AO7" s="1">
        <v>0</v>
      </c>
      <c r="AP7" s="1">
        <v>0</v>
      </c>
      <c r="AQ7" s="1">
        <v>0.61191171509738496</v>
      </c>
      <c r="AR7" s="1">
        <v>0.47578349608468401</v>
      </c>
      <c r="AS7" s="1">
        <v>5.5967370758393101E-2</v>
      </c>
      <c r="AT7" s="1">
        <v>4.5098289718740803E-2</v>
      </c>
      <c r="AU7" s="1">
        <v>3.9704916773083E-2</v>
      </c>
    </row>
    <row r="8" spans="1:47" x14ac:dyDescent="0.3">
      <c r="A8" s="1" t="s">
        <v>49</v>
      </c>
      <c r="B8" s="1" t="s">
        <v>30</v>
      </c>
      <c r="C8" s="1">
        <v>25</v>
      </c>
      <c r="D8" s="1">
        <v>90</v>
      </c>
      <c r="E8" s="1">
        <v>726</v>
      </c>
      <c r="F8" s="1">
        <v>2365</v>
      </c>
      <c r="G8" s="1">
        <v>1414.1246522193001</v>
      </c>
      <c r="H8" s="1">
        <v>324.36256603762001</v>
      </c>
      <c r="I8" s="1">
        <v>2936818338</v>
      </c>
      <c r="J8" s="1">
        <v>700804.97114399995</v>
      </c>
      <c r="K8" s="1">
        <f t="shared" si="0"/>
        <v>2.3862727975924262E-4</v>
      </c>
      <c r="L8" s="1">
        <v>16.559160112331998</v>
      </c>
      <c r="M8" s="1">
        <v>10.021254694789</v>
      </c>
      <c r="N8" s="1">
        <v>61200.287881108001</v>
      </c>
      <c r="O8" s="1">
        <v>1032794.3757041</v>
      </c>
      <c r="P8" s="1">
        <v>7.1667204512887004</v>
      </c>
      <c r="Q8" s="1">
        <v>2.4177630525236999</v>
      </c>
      <c r="R8" s="1">
        <v>13.96051998074145</v>
      </c>
      <c r="S8" s="1">
        <v>14.947359974321939</v>
      </c>
      <c r="T8" s="1">
        <v>14.96051998074145</v>
      </c>
      <c r="U8" s="1">
        <v>16.97367998716097</v>
      </c>
      <c r="V8" s="1">
        <v>21.947359974321941</v>
      </c>
      <c r="W8" s="1">
        <v>23.986839993580489</v>
      </c>
      <c r="X8" s="1">
        <v>40.118440057775643</v>
      </c>
      <c r="Y8" s="1">
        <v>40.105280051356132</v>
      </c>
      <c r="Z8" s="1">
        <v>41.105280051356132</v>
      </c>
      <c r="AA8" s="1">
        <v>40.934199967902423</v>
      </c>
      <c r="AB8" s="1">
        <v>45.02632001283903</v>
      </c>
      <c r="AC8" s="1">
        <v>45.02632001283903</v>
      </c>
      <c r="AD8" s="1">
        <v>40</v>
      </c>
      <c r="AE8" s="1">
        <v>40.986839993580482</v>
      </c>
      <c r="AF8" s="1">
        <v>42.934199967902423</v>
      </c>
      <c r="AG8" s="1">
        <v>36</v>
      </c>
      <c r="AH8" s="1">
        <v>34.921039961482911</v>
      </c>
      <c r="AI8" s="1">
        <v>32.921039961482911</v>
      </c>
      <c r="AJ8" s="1">
        <v>-14.51403577087909</v>
      </c>
      <c r="AK8" s="1">
        <v>2355.822092630156</v>
      </c>
      <c r="AL8" s="1">
        <v>6141.4322778514579</v>
      </c>
      <c r="AM8" s="1">
        <v>4058.3198686371102</v>
      </c>
      <c r="AN8" s="1">
        <v>1850.8123535319719</v>
      </c>
      <c r="AO8" s="1">
        <v>0</v>
      </c>
      <c r="AP8" s="1">
        <v>0</v>
      </c>
      <c r="AQ8" s="1">
        <v>0.560549302843385</v>
      </c>
      <c r="AR8" s="1">
        <v>0.52512969531434694</v>
      </c>
      <c r="AS8" s="1">
        <v>5.2535090312589502E-2</v>
      </c>
      <c r="AT8" s="1">
        <v>3.9927085980268201E-2</v>
      </c>
      <c r="AU8" s="1">
        <v>3.1378162035610502E-2</v>
      </c>
    </row>
    <row r="9" spans="1:47" x14ac:dyDescent="0.3">
      <c r="A9" s="1"/>
      <c r="B9" s="1"/>
      <c r="C9" s="1"/>
      <c r="D9" s="1"/>
      <c r="E9" s="1"/>
      <c r="F9" s="1"/>
      <c r="G9" s="1"/>
      <c r="H9" s="1"/>
    </row>
    <row r="10" spans="1:47" x14ac:dyDescent="0.3">
      <c r="A10" s="1"/>
      <c r="B10" s="1"/>
      <c r="C10" s="1"/>
      <c r="D10" s="1"/>
      <c r="E10" s="1"/>
      <c r="F10" s="1"/>
      <c r="G10" s="1"/>
      <c r="H10" s="1"/>
    </row>
    <row r="11" spans="1:47" x14ac:dyDescent="0.3">
      <c r="A11" s="1"/>
      <c r="B11" s="1"/>
      <c r="C11" s="1"/>
      <c r="D11" s="1"/>
      <c r="E11" s="1"/>
      <c r="F11" s="1"/>
      <c r="G11" s="1"/>
      <c r="H11" s="1"/>
    </row>
    <row r="12" spans="1:47" x14ac:dyDescent="0.3">
      <c r="A12" s="1"/>
      <c r="B12" s="1"/>
      <c r="C12" s="1"/>
      <c r="D12" s="1"/>
      <c r="E12" s="1"/>
      <c r="F12" s="1"/>
      <c r="G12" s="1"/>
      <c r="H12" s="1"/>
    </row>
    <row r="13" spans="1:47" x14ac:dyDescent="0.3">
      <c r="A13" s="1"/>
      <c r="B13" s="1"/>
      <c r="C13" s="1"/>
      <c r="D13" s="1"/>
      <c r="E13" s="1"/>
      <c r="F13" s="1"/>
      <c r="G13" s="1"/>
      <c r="H13" s="1"/>
    </row>
    <row r="14" spans="1:47" x14ac:dyDescent="0.3">
      <c r="A14" s="1"/>
      <c r="B14" s="1"/>
      <c r="C14" s="1"/>
      <c r="D14" s="1"/>
      <c r="E14" s="1"/>
      <c r="F14" s="1"/>
      <c r="G14" s="1"/>
      <c r="H14" s="1"/>
    </row>
    <row r="15" spans="1:47" x14ac:dyDescent="0.3">
      <c r="A15" s="1"/>
      <c r="B15" s="1"/>
      <c r="C15" s="1"/>
      <c r="D15" s="1"/>
      <c r="E15" s="1"/>
      <c r="F15" s="1"/>
      <c r="G15" s="1"/>
      <c r="H15" s="1"/>
    </row>
    <row r="16" spans="1:47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E8DF-C643-415F-AFAB-306BF9918C34}">
  <dimension ref="A1:AU21"/>
  <sheetViews>
    <sheetView topLeftCell="AJ1" workbookViewId="0">
      <selection activeCell="AS14" sqref="AS14"/>
    </sheetView>
  </sheetViews>
  <sheetFormatPr defaultRowHeight="14" x14ac:dyDescent="0.3"/>
  <cols>
    <col min="1" max="1" width="9.9140625" bestFit="1" customWidth="1"/>
    <col min="2" max="2" width="15.4140625" bestFit="1" customWidth="1"/>
    <col min="3" max="3" width="3.1640625" bestFit="1" customWidth="1"/>
    <col min="4" max="4" width="9" bestFit="1" customWidth="1"/>
    <col min="5" max="5" width="5.9140625" bestFit="1" customWidth="1"/>
    <col min="6" max="6" width="6.25" bestFit="1" customWidth="1"/>
    <col min="7" max="8" width="12.33203125" bestFit="1" customWidth="1"/>
    <col min="9" max="9" width="11.25" bestFit="1" customWidth="1"/>
    <col min="10" max="35" width="12.33203125" bestFit="1" customWidth="1"/>
    <col min="36" max="36" width="13.33203125" bestFit="1" customWidth="1"/>
    <col min="37" max="40" width="12.33203125" bestFit="1" customWidth="1"/>
    <col min="41" max="41" width="8.5" bestFit="1" customWidth="1"/>
    <col min="42" max="42" width="17.33203125" bestFit="1" customWidth="1"/>
    <col min="43" max="45" width="12.33203125" bestFit="1" customWidth="1"/>
    <col min="46" max="46" width="14.6640625" bestFit="1" customWidth="1"/>
    <col min="47" max="47" width="12.33203125" bestFit="1" customWidth="1"/>
  </cols>
  <sheetData>
    <row r="1" spans="1:47" x14ac:dyDescent="0.3">
      <c r="A1" s="3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75</v>
      </c>
      <c r="AK1" s="3" t="s">
        <v>76</v>
      </c>
      <c r="AL1" s="3" t="s">
        <v>70</v>
      </c>
      <c r="AM1" s="3" t="s">
        <v>71</v>
      </c>
      <c r="AN1" s="3" t="s">
        <v>72</v>
      </c>
      <c r="AO1" s="3" t="s">
        <v>77</v>
      </c>
      <c r="AP1" s="3" t="s">
        <v>78</v>
      </c>
      <c r="AQ1" s="3" t="s">
        <v>40</v>
      </c>
      <c r="AR1" s="3" t="s">
        <v>41</v>
      </c>
      <c r="AS1" s="3" t="s">
        <v>42</v>
      </c>
      <c r="AT1" s="3" t="s">
        <v>44</v>
      </c>
      <c r="AU1" s="3" t="s">
        <v>43</v>
      </c>
    </row>
    <row r="2" spans="1:47" x14ac:dyDescent="0.3">
      <c r="A2" s="1" t="s">
        <v>49</v>
      </c>
      <c r="B2" s="1" t="s">
        <v>24</v>
      </c>
      <c r="C2" s="1">
        <v>19</v>
      </c>
      <c r="D2" s="1">
        <v>30</v>
      </c>
      <c r="E2" s="1">
        <v>674</v>
      </c>
      <c r="F2" s="1">
        <v>2408</v>
      </c>
      <c r="G2" s="1">
        <v>1503.2542389737</v>
      </c>
      <c r="H2" s="1">
        <v>337.42921170466002</v>
      </c>
      <c r="I2" s="1">
        <v>4131857685</v>
      </c>
      <c r="J2" s="1">
        <v>2913606.970497</v>
      </c>
      <c r="K2" s="1">
        <f t="shared" ref="K2:K8" si="0">J2/I2</f>
        <v>7.0515666139091629E-4</v>
      </c>
      <c r="L2" s="1">
        <v>19.110611176776999</v>
      </c>
      <c r="M2" s="1">
        <v>11.440017350937</v>
      </c>
      <c r="N2" s="1">
        <v>66032.217967620003</v>
      </c>
      <c r="O2" s="1">
        <v>2019468.2070122999</v>
      </c>
      <c r="P2" s="1">
        <v>6.0532021093547002</v>
      </c>
      <c r="Q2" s="1">
        <v>2.5124684094992999</v>
      </c>
      <c r="R2" s="1">
        <v>13.76843540506761</v>
      </c>
      <c r="S2" s="1">
        <v>14.66617429837518</v>
      </c>
      <c r="T2" s="1">
        <v>14.774798318372911</v>
      </c>
      <c r="U2" s="1">
        <v>16.814566526531081</v>
      </c>
      <c r="V2" s="1">
        <v>21.59731848653562</v>
      </c>
      <c r="W2" s="1">
        <v>23.79184183615498</v>
      </c>
      <c r="X2" s="1">
        <v>40.648789910237483</v>
      </c>
      <c r="Y2" s="1">
        <v>40.592432678104757</v>
      </c>
      <c r="Z2" s="1">
        <v>41.592432678104757</v>
      </c>
      <c r="AA2" s="1">
        <v>40.485058516077721</v>
      </c>
      <c r="AB2" s="1">
        <v>45.235200545392573</v>
      </c>
      <c r="AC2" s="1">
        <v>45.235200545392573</v>
      </c>
      <c r="AD2" s="1">
        <v>39.91069196682195</v>
      </c>
      <c r="AE2" s="1">
        <v>40.802067946824216</v>
      </c>
      <c r="AF2" s="1">
        <v>42.603454152937168</v>
      </c>
      <c r="AG2" s="1">
        <v>35.985910691966822</v>
      </c>
      <c r="AH2" s="1">
        <v>34.661856607203717</v>
      </c>
      <c r="AI2" s="1">
        <v>32.678445631178278</v>
      </c>
      <c r="AJ2" s="1">
        <v>-4.8139127243121713</v>
      </c>
      <c r="AK2" s="1">
        <v>1491.1232174688059</v>
      </c>
      <c r="AL2" s="1">
        <v>5727.1363090034956</v>
      </c>
      <c r="AM2" s="1">
        <v>3496.7596861471861</v>
      </c>
      <c r="AN2" s="1">
        <v>942.87091791703426</v>
      </c>
      <c r="AO2" s="1">
        <v>0</v>
      </c>
      <c r="AP2" s="1">
        <v>0</v>
      </c>
      <c r="AQ2" s="1">
        <v>0.50686562176458605</v>
      </c>
      <c r="AR2" s="1">
        <v>0.52515177545610503</v>
      </c>
      <c r="AS2" s="1">
        <v>5.8042262579007901E-2</v>
      </c>
      <c r="AT2" s="1">
        <v>3.79362267343391E-2</v>
      </c>
      <c r="AU2" s="1">
        <v>3.5459588162715598E-2</v>
      </c>
    </row>
    <row r="3" spans="1:47" x14ac:dyDescent="0.3">
      <c r="A3" s="1" t="s">
        <v>49</v>
      </c>
      <c r="B3" s="1" t="s">
        <v>25</v>
      </c>
      <c r="C3" s="1">
        <v>20</v>
      </c>
      <c r="D3" s="1">
        <v>30</v>
      </c>
      <c r="E3" s="1">
        <v>751</v>
      </c>
      <c r="F3" s="1">
        <v>3014</v>
      </c>
      <c r="G3" s="1">
        <v>1556.0976344677999</v>
      </c>
      <c r="H3" s="1">
        <v>353.37259077395998</v>
      </c>
      <c r="I3" s="1">
        <v>1681771911</v>
      </c>
      <c r="J3" s="1">
        <v>1150445.1807659999</v>
      </c>
      <c r="K3" s="1">
        <f t="shared" si="0"/>
        <v>6.8406730617942872E-4</v>
      </c>
      <c r="L3" s="1">
        <v>25.001176289252999</v>
      </c>
      <c r="M3" s="1">
        <v>11.723384101797</v>
      </c>
      <c r="N3" s="1">
        <v>44075.609286621002</v>
      </c>
      <c r="O3" s="1">
        <v>1157991.9337520001</v>
      </c>
      <c r="P3" s="1">
        <v>5.5761897591656</v>
      </c>
      <c r="Q3" s="1">
        <v>2.2264979419611999</v>
      </c>
      <c r="R3" s="1">
        <v>14.03765227021041</v>
      </c>
      <c r="S3" s="1">
        <v>14.556478405315611</v>
      </c>
      <c r="T3" s="1">
        <v>16.03266888150609</v>
      </c>
      <c r="U3" s="1">
        <v>17.58914728682171</v>
      </c>
      <c r="V3" s="1">
        <v>19.145625692137319</v>
      </c>
      <c r="W3" s="1">
        <v>22.258582502768551</v>
      </c>
      <c r="X3" s="1">
        <v>46.144795127353269</v>
      </c>
      <c r="Y3" s="1">
        <v>46.144795127353269</v>
      </c>
      <c r="Z3" s="1">
        <v>46.66362126245847</v>
      </c>
      <c r="AA3" s="1">
        <v>40.437707641196013</v>
      </c>
      <c r="AB3" s="1">
        <v>47.661129568106311</v>
      </c>
      <c r="AC3" s="1">
        <v>47.661129568106311</v>
      </c>
      <c r="AD3" s="1">
        <v>37.263565891472872</v>
      </c>
      <c r="AE3" s="1">
        <v>37.263565891472872</v>
      </c>
      <c r="AF3" s="1">
        <v>36.744739756367657</v>
      </c>
      <c r="AG3" s="1">
        <v>34.749723145071982</v>
      </c>
      <c r="AH3" s="1">
        <v>31.63676633444075</v>
      </c>
      <c r="AI3" s="1">
        <v>30.080287929125141</v>
      </c>
      <c r="AJ3" s="1">
        <v>4.5744745783247467</v>
      </c>
      <c r="AK3" s="1">
        <v>1805.9901960784309</v>
      </c>
      <c r="AL3" s="1">
        <v>5790.3787393162393</v>
      </c>
      <c r="AM3" s="1">
        <v>3413.6563492063492</v>
      </c>
      <c r="AN3" s="1">
        <v>1194.673274002158</v>
      </c>
      <c r="AO3" s="1">
        <v>0</v>
      </c>
      <c r="AP3" s="1">
        <v>0</v>
      </c>
      <c r="AQ3" s="1">
        <v>0.65386627307376499</v>
      </c>
      <c r="AR3" s="1">
        <v>0.52509009659749195</v>
      </c>
      <c r="AS3" s="1">
        <v>5.84803352341592E-2</v>
      </c>
      <c r="AT3" s="1">
        <v>4.3006800450671699E-2</v>
      </c>
      <c r="AU3" s="1">
        <v>3.25642269568766E-2</v>
      </c>
    </row>
    <row r="4" spans="1:47" x14ac:dyDescent="0.3">
      <c r="A4" s="1" t="s">
        <v>49</v>
      </c>
      <c r="B4" s="1" t="s">
        <v>26</v>
      </c>
      <c r="C4" s="1">
        <v>21</v>
      </c>
      <c r="D4" s="1">
        <v>30</v>
      </c>
      <c r="E4" s="1">
        <v>712</v>
      </c>
      <c r="F4" s="1">
        <v>2588</v>
      </c>
      <c r="G4" s="1">
        <v>1483.817870161</v>
      </c>
      <c r="H4" s="1">
        <v>319.71467647482001</v>
      </c>
      <c r="I4" s="1">
        <v>2184817913</v>
      </c>
      <c r="J4" s="1">
        <v>1500958.9697680001</v>
      </c>
      <c r="K4" s="1">
        <f t="shared" si="0"/>
        <v>6.8699499433662878E-4</v>
      </c>
      <c r="L4" s="1">
        <v>24.025861366101999</v>
      </c>
      <c r="M4" s="1">
        <v>11.505667825849001</v>
      </c>
      <c r="N4" s="1">
        <v>49999.358834323997</v>
      </c>
      <c r="O4" s="1">
        <v>1308219.9650695999</v>
      </c>
      <c r="P4" s="1">
        <v>5.6909473117807003</v>
      </c>
      <c r="Q4" s="1">
        <v>2.3088387623252999</v>
      </c>
      <c r="R4" s="1">
        <v>13.725317272531729</v>
      </c>
      <c r="S4" s="1">
        <v>14.08797590879759</v>
      </c>
      <c r="T4" s="1">
        <v>15.725317272531729</v>
      </c>
      <c r="U4" s="1">
        <v>16.813293181329321</v>
      </c>
      <c r="V4" s="1">
        <v>17.90126909012691</v>
      </c>
      <c r="W4" s="1">
        <v>20.07722090772209</v>
      </c>
      <c r="X4" s="1">
        <v>49.109485910948592</v>
      </c>
      <c r="Y4" s="1">
        <v>49.109485910948592</v>
      </c>
      <c r="Z4" s="1">
        <v>49.472144547214462</v>
      </c>
      <c r="AA4" s="1">
        <v>45.120240912024087</v>
      </c>
      <c r="AB4" s="1">
        <v>50.472144547214462</v>
      </c>
      <c r="AC4" s="1">
        <v>50.472144547214462</v>
      </c>
      <c r="AD4" s="1">
        <v>35.077220907722086</v>
      </c>
      <c r="AE4" s="1">
        <v>35.077220907722086</v>
      </c>
      <c r="AF4" s="1">
        <v>34.714562271456217</v>
      </c>
      <c r="AG4" s="1">
        <v>32.714562271456217</v>
      </c>
      <c r="AH4" s="1">
        <v>30.53861045386105</v>
      </c>
      <c r="AI4" s="1">
        <v>29.450634545063451</v>
      </c>
      <c r="AJ4" s="1">
        <v>-3.783416001786613</v>
      </c>
      <c r="AK4" s="1">
        <v>1674.347385620915</v>
      </c>
      <c r="AL4" s="1">
        <v>6041.7554487179486</v>
      </c>
      <c r="AM4" s="1">
        <v>3562.074920634921</v>
      </c>
      <c r="AN4" s="1">
        <v>1167.443689320389</v>
      </c>
      <c r="AO4" s="1">
        <v>0</v>
      </c>
      <c r="AP4" s="1">
        <v>0</v>
      </c>
      <c r="AQ4" s="1">
        <v>0.64628928253683704</v>
      </c>
      <c r="AR4" s="1">
        <v>0.50303668415726199</v>
      </c>
      <c r="AS4" s="1">
        <v>5.6719081500311401E-2</v>
      </c>
      <c r="AT4" s="1">
        <v>4.2683661597027703E-2</v>
      </c>
      <c r="AU4" s="1">
        <v>3.0979839302861498E-2</v>
      </c>
    </row>
    <row r="5" spans="1:47" x14ac:dyDescent="0.3">
      <c r="A5" s="1" t="s">
        <v>49</v>
      </c>
      <c r="B5" s="1" t="s">
        <v>27</v>
      </c>
      <c r="C5" s="1">
        <v>22</v>
      </c>
      <c r="D5" s="1">
        <v>30</v>
      </c>
      <c r="E5" s="1">
        <v>788</v>
      </c>
      <c r="F5" s="1">
        <v>2424</v>
      </c>
      <c r="G5" s="1">
        <v>1390.4696194293999</v>
      </c>
      <c r="H5" s="1">
        <v>288.81591506479998</v>
      </c>
      <c r="I5" s="1">
        <v>1936486834</v>
      </c>
      <c r="J5" s="1">
        <v>1404889.3792340001</v>
      </c>
      <c r="K5" s="1">
        <f t="shared" si="0"/>
        <v>7.2548356878423279E-4</v>
      </c>
      <c r="L5" s="1">
        <v>18.513252584473001</v>
      </c>
      <c r="M5" s="1">
        <v>11.612960225209999</v>
      </c>
      <c r="N5" s="1">
        <v>39123.94649712</v>
      </c>
      <c r="O5" s="1">
        <v>1039339.0638755</v>
      </c>
      <c r="P5" s="1">
        <v>6.0937298633554002</v>
      </c>
      <c r="Q5" s="1">
        <v>2.5463806887470999</v>
      </c>
      <c r="R5" s="1">
        <v>14</v>
      </c>
      <c r="S5" s="1">
        <v>15</v>
      </c>
      <c r="T5" s="1">
        <v>15</v>
      </c>
      <c r="U5" s="1">
        <v>17</v>
      </c>
      <c r="V5" s="1">
        <v>22</v>
      </c>
      <c r="W5" s="1">
        <v>24</v>
      </c>
      <c r="X5" s="1">
        <v>40</v>
      </c>
      <c r="Y5" s="1">
        <v>40</v>
      </c>
      <c r="Z5" s="1">
        <v>41</v>
      </c>
      <c r="AA5" s="1">
        <v>41</v>
      </c>
      <c r="AB5" s="1">
        <v>45</v>
      </c>
      <c r="AC5" s="1">
        <v>45</v>
      </c>
      <c r="AD5" s="1">
        <v>40</v>
      </c>
      <c r="AE5" s="1">
        <v>41</v>
      </c>
      <c r="AF5" s="1">
        <v>43</v>
      </c>
      <c r="AG5" s="1">
        <v>36</v>
      </c>
      <c r="AH5" s="1">
        <v>35</v>
      </c>
      <c r="AI5" s="1">
        <v>33</v>
      </c>
      <c r="AJ5" s="1">
        <v>-14.611372790400999</v>
      </c>
      <c r="AK5" s="1">
        <v>2247.299535603715</v>
      </c>
      <c r="AL5" s="1">
        <v>6200.5306174089064</v>
      </c>
      <c r="AM5" s="1">
        <v>4211.0884711779436</v>
      </c>
      <c r="AN5" s="1">
        <v>1791.0762646908529</v>
      </c>
      <c r="AO5" s="1">
        <v>0</v>
      </c>
      <c r="AP5" s="1">
        <v>0</v>
      </c>
      <c r="AQ5" s="1">
        <v>0.68121390113926195</v>
      </c>
      <c r="AR5" s="1">
        <v>0.49490143939714798</v>
      </c>
      <c r="AS5" s="1">
        <v>5.74646713916174E-2</v>
      </c>
      <c r="AT5" s="1">
        <v>4.3878219048147399E-2</v>
      </c>
      <c r="AU5" s="1">
        <v>3.7018030012281898E-2</v>
      </c>
    </row>
    <row r="6" spans="1:47" x14ac:dyDescent="0.3">
      <c r="A6" s="1" t="s">
        <v>49</v>
      </c>
      <c r="B6" s="1" t="s">
        <v>28</v>
      </c>
      <c r="C6" s="1">
        <v>23</v>
      </c>
      <c r="D6" s="1">
        <v>30</v>
      </c>
      <c r="E6" s="1">
        <v>752</v>
      </c>
      <c r="F6" s="1">
        <v>2927</v>
      </c>
      <c r="G6" s="1">
        <v>1494.2515581683999</v>
      </c>
      <c r="H6" s="1">
        <v>400.05742660719</v>
      </c>
      <c r="I6" s="1">
        <v>2401982560</v>
      </c>
      <c r="J6" s="1">
        <v>1788289.4330190001</v>
      </c>
      <c r="K6" s="1">
        <f t="shared" si="0"/>
        <v>7.4450558584363751E-4</v>
      </c>
      <c r="L6" s="1">
        <v>2.2418373261186999</v>
      </c>
      <c r="M6" s="1">
        <v>8.2467104597980008</v>
      </c>
      <c r="N6" s="1">
        <v>56100.454100540999</v>
      </c>
      <c r="O6" s="1">
        <v>1466693.4739798</v>
      </c>
      <c r="P6" s="1">
        <v>14.912517596148</v>
      </c>
      <c r="Q6" s="1">
        <v>4.0197387982719999</v>
      </c>
      <c r="R6" s="1">
        <v>14.4449322389769</v>
      </c>
      <c r="S6" s="1">
        <v>15.155182286695929</v>
      </c>
      <c r="T6" s="1">
        <v>16.338423363237261</v>
      </c>
      <c r="U6" s="1">
        <v>18.469173506394348</v>
      </c>
      <c r="V6" s="1">
        <v>20.599923649551439</v>
      </c>
      <c r="W6" s="1">
        <v>24.86142393586562</v>
      </c>
      <c r="X6" s="1">
        <v>42.300248138957819</v>
      </c>
      <c r="Y6" s="1">
        <v>42.300248138957819</v>
      </c>
      <c r="Z6" s="1">
        <v>43.010498186676848</v>
      </c>
      <c r="AA6" s="1">
        <v>34.487497614048479</v>
      </c>
      <c r="AB6" s="1">
        <v>43.957243748807016</v>
      </c>
      <c r="AC6" s="1">
        <v>43.957243748807016</v>
      </c>
      <c r="AD6" s="1">
        <v>40.138385188012982</v>
      </c>
      <c r="AE6" s="1">
        <v>40.138385188012982</v>
      </c>
      <c r="AF6" s="1">
        <v>39.428135140293953</v>
      </c>
      <c r="AG6" s="1">
        <v>37.534644016033603</v>
      </c>
      <c r="AH6" s="1">
        <v>33.273143729719408</v>
      </c>
      <c r="AI6" s="1">
        <v>31.142393586562321</v>
      </c>
      <c r="AJ6" s="1">
        <v>9.5516221768510139</v>
      </c>
      <c r="AK6" s="1">
        <v>1331.5915032679741</v>
      </c>
      <c r="AL6" s="1">
        <v>5642.8508672699854</v>
      </c>
      <c r="AM6" s="1">
        <v>3132.2608776844072</v>
      </c>
      <c r="AN6" s="1">
        <v>741.79697315819544</v>
      </c>
      <c r="AO6" s="1">
        <v>0</v>
      </c>
      <c r="AP6" s="1">
        <v>0</v>
      </c>
      <c r="AQ6" s="1">
        <v>0.77048234176233299</v>
      </c>
      <c r="AR6" s="1">
        <v>0.57388478666476095</v>
      </c>
      <c r="AS6" s="1">
        <v>5.1793394639902297E-2</v>
      </c>
      <c r="AT6" s="1">
        <v>3.8459183713813398E-2</v>
      </c>
      <c r="AU6" s="1">
        <v>3.2537562796088902E-2</v>
      </c>
    </row>
    <row r="7" spans="1:47" x14ac:dyDescent="0.3">
      <c r="A7" s="1" t="s">
        <v>49</v>
      </c>
      <c r="B7" s="1" t="s">
        <v>29</v>
      </c>
      <c r="C7" s="1">
        <v>24</v>
      </c>
      <c r="D7" s="1">
        <v>30</v>
      </c>
      <c r="E7" s="1">
        <v>723</v>
      </c>
      <c r="F7" s="1">
        <v>2414</v>
      </c>
      <c r="G7" s="1">
        <v>1295.8498584596</v>
      </c>
      <c r="H7" s="1">
        <v>281.51058194016002</v>
      </c>
      <c r="I7" s="1">
        <v>5492826600</v>
      </c>
      <c r="J7" s="1">
        <v>4168604.7744490001</v>
      </c>
      <c r="K7" s="1">
        <f t="shared" si="0"/>
        <v>7.5891796301179434E-4</v>
      </c>
      <c r="L7" s="1">
        <v>15.008681113119</v>
      </c>
      <c r="M7" s="1">
        <v>10.543520599983999</v>
      </c>
      <c r="N7" s="1">
        <v>76687.832249586005</v>
      </c>
      <c r="O7" s="1">
        <v>2597226.7806540001</v>
      </c>
      <c r="P7" s="1">
        <v>6.3910301441312001</v>
      </c>
      <c r="Q7" s="1">
        <v>2.6987690122396999</v>
      </c>
      <c r="R7" s="1">
        <v>13.398677455842691</v>
      </c>
      <c r="S7" s="1">
        <v>13.80518576524841</v>
      </c>
      <c r="T7" s="1">
        <v>14.103889323936309</v>
      </c>
      <c r="U7" s="1">
        <v>16.697381014530581</v>
      </c>
      <c r="V7" s="1">
        <v>20.80518576524841</v>
      </c>
      <c r="W7" s="1">
        <v>24.88044896893761</v>
      </c>
      <c r="X7" s="1">
        <v>42.098755764378318</v>
      </c>
      <c r="Y7" s="1">
        <v>41.505264073784041</v>
      </c>
      <c r="Z7" s="1">
        <v>42.505264073784041</v>
      </c>
      <c r="AA7" s="1">
        <v>33.905507700339342</v>
      </c>
      <c r="AB7" s="1">
        <v>43.533890194031152</v>
      </c>
      <c r="AC7" s="1">
        <v>43.533890194031152</v>
      </c>
      <c r="AD7" s="1">
        <v>41.768728791438257</v>
      </c>
      <c r="AE7" s="1">
        <v>42.175237100843987</v>
      </c>
      <c r="AF7" s="1">
        <v>42.096058470373272</v>
      </c>
      <c r="AG7" s="1">
        <v>38.063516923344643</v>
      </c>
      <c r="AH7" s="1">
        <v>33.207778647872622</v>
      </c>
      <c r="AI7" s="1">
        <v>30.912990515966239</v>
      </c>
      <c r="AJ7" s="1">
        <v>-12.1491751878012</v>
      </c>
      <c r="AK7" s="1">
        <v>2989.5857630008518</v>
      </c>
      <c r="AL7" s="1">
        <v>6518.7005852842813</v>
      </c>
      <c r="AM7" s="1">
        <v>4281.0062939958589</v>
      </c>
      <c r="AN7" s="1">
        <v>2287.2468130012662</v>
      </c>
      <c r="AO7" s="1">
        <v>0</v>
      </c>
      <c r="AP7" s="1">
        <v>0</v>
      </c>
      <c r="AQ7" s="1">
        <v>0.61191171509738496</v>
      </c>
      <c r="AR7" s="1">
        <v>0.47578349608468401</v>
      </c>
      <c r="AS7" s="1">
        <v>5.5967370758393101E-2</v>
      </c>
      <c r="AT7" s="1">
        <v>4.5098289718740803E-2</v>
      </c>
      <c r="AU7" s="1">
        <v>3.9704916773083E-2</v>
      </c>
    </row>
    <row r="8" spans="1:47" x14ac:dyDescent="0.3">
      <c r="A8" s="1" t="s">
        <v>49</v>
      </c>
      <c r="B8" s="1" t="s">
        <v>30</v>
      </c>
      <c r="C8" s="1">
        <v>25</v>
      </c>
      <c r="D8" s="1">
        <v>30</v>
      </c>
      <c r="E8" s="1">
        <v>718</v>
      </c>
      <c r="F8" s="1">
        <v>2408</v>
      </c>
      <c r="G8" s="1">
        <v>1414.4993314751</v>
      </c>
      <c r="H8" s="1">
        <v>324.45340405665002</v>
      </c>
      <c r="I8" s="1">
        <v>2939519878</v>
      </c>
      <c r="J8" s="1">
        <v>2151812.3089310001</v>
      </c>
      <c r="K8" s="1">
        <f t="shared" si="0"/>
        <v>7.3202849384881765E-4</v>
      </c>
      <c r="L8" s="1">
        <v>18.337610307911</v>
      </c>
      <c r="M8" s="1">
        <v>11.701772205094001</v>
      </c>
      <c r="N8" s="1">
        <v>64471.503169996002</v>
      </c>
      <c r="O8" s="1">
        <v>1834052.3513272</v>
      </c>
      <c r="P8" s="1">
        <v>6.1147687798041996</v>
      </c>
      <c r="Q8" s="1">
        <v>2.5791871182723001</v>
      </c>
      <c r="R8" s="1">
        <v>13.96051998074145</v>
      </c>
      <c r="S8" s="1">
        <v>14.947359974321939</v>
      </c>
      <c r="T8" s="1">
        <v>14.96051998074145</v>
      </c>
      <c r="U8" s="1">
        <v>16.97367998716097</v>
      </c>
      <c r="V8" s="1">
        <v>21.947359974321941</v>
      </c>
      <c r="W8" s="1">
        <v>23.986839993580489</v>
      </c>
      <c r="X8" s="1">
        <v>40.118440057775643</v>
      </c>
      <c r="Y8" s="1">
        <v>40.105280051356132</v>
      </c>
      <c r="Z8" s="1">
        <v>41.105280051356132</v>
      </c>
      <c r="AA8" s="1">
        <v>40.934199967902423</v>
      </c>
      <c r="AB8" s="1">
        <v>45.02632001283903</v>
      </c>
      <c r="AC8" s="1">
        <v>45.02632001283903</v>
      </c>
      <c r="AD8" s="1">
        <v>40</v>
      </c>
      <c r="AE8" s="1">
        <v>40.986839993580482</v>
      </c>
      <c r="AF8" s="1">
        <v>42.934199967902423</v>
      </c>
      <c r="AG8" s="1">
        <v>36</v>
      </c>
      <c r="AH8" s="1">
        <v>34.921039961482911</v>
      </c>
      <c r="AI8" s="1">
        <v>32.921039961482911</v>
      </c>
      <c r="AJ8" s="1">
        <v>-14.51403577087909</v>
      </c>
      <c r="AK8" s="1">
        <v>2355.822092630156</v>
      </c>
      <c r="AL8" s="1">
        <v>6141.4322778514579</v>
      </c>
      <c r="AM8" s="1">
        <v>4058.3198686371102</v>
      </c>
      <c r="AN8" s="1">
        <v>1850.8123535319719</v>
      </c>
      <c r="AO8" s="1">
        <v>0</v>
      </c>
      <c r="AP8" s="1">
        <v>0</v>
      </c>
      <c r="AQ8" s="1">
        <v>0.560549302843385</v>
      </c>
      <c r="AR8" s="1">
        <v>0.52512969531434694</v>
      </c>
      <c r="AS8" s="1">
        <v>5.2535090312589502E-2</v>
      </c>
      <c r="AT8" s="1">
        <v>3.9927085980268201E-2</v>
      </c>
      <c r="AU8" s="1">
        <v>3.1378162035610502E-2</v>
      </c>
    </row>
    <row r="9" spans="1:47" x14ac:dyDescent="0.3">
      <c r="A9" s="1"/>
      <c r="B9" s="1"/>
      <c r="C9" s="1"/>
      <c r="D9" s="1"/>
      <c r="E9" s="1"/>
      <c r="F9" s="1"/>
      <c r="G9" s="1"/>
      <c r="H9" s="1"/>
    </row>
    <row r="10" spans="1:47" x14ac:dyDescent="0.3">
      <c r="A10" s="1"/>
      <c r="B10" s="1"/>
      <c r="C10" s="1"/>
      <c r="D10" s="1"/>
      <c r="E10" s="1"/>
      <c r="F10" s="1"/>
      <c r="G10" s="1"/>
      <c r="H10" s="1"/>
    </row>
    <row r="11" spans="1:47" x14ac:dyDescent="0.3">
      <c r="A11" s="1"/>
      <c r="B11" s="1"/>
      <c r="C11" s="1"/>
      <c r="D11" s="1"/>
      <c r="E11" s="1"/>
      <c r="F11" s="1"/>
      <c r="G11" s="1"/>
      <c r="H11" s="1"/>
    </row>
    <row r="12" spans="1:47" x14ac:dyDescent="0.3">
      <c r="A12" s="1"/>
      <c r="B12" s="1"/>
      <c r="C12" s="1"/>
      <c r="D12" s="1"/>
      <c r="E12" s="1"/>
      <c r="F12" s="1"/>
      <c r="G12" s="1"/>
      <c r="H12" s="1"/>
    </row>
    <row r="13" spans="1:47" x14ac:dyDescent="0.3">
      <c r="A13" s="1"/>
      <c r="B13" s="1"/>
      <c r="C13" s="1"/>
      <c r="D13" s="1"/>
      <c r="E13" s="1"/>
      <c r="F13" s="1"/>
      <c r="G13" s="1"/>
      <c r="H13" s="1"/>
    </row>
    <row r="14" spans="1:47" x14ac:dyDescent="0.3">
      <c r="A14" s="1"/>
      <c r="B14" s="1"/>
      <c r="C14" s="1"/>
      <c r="D14" s="1"/>
      <c r="E14" s="1"/>
      <c r="F14" s="1"/>
      <c r="G14" s="1"/>
      <c r="H14" s="1"/>
    </row>
    <row r="15" spans="1:47" x14ac:dyDescent="0.3">
      <c r="A15" s="1"/>
      <c r="B15" s="1"/>
      <c r="C15" s="1"/>
      <c r="D15" s="1"/>
      <c r="E15" s="1"/>
      <c r="F15" s="1"/>
      <c r="G15" s="1"/>
      <c r="H15" s="1"/>
    </row>
    <row r="16" spans="1:47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C96B-3D64-461C-8B75-99D456E321AA}">
  <dimension ref="A1:AU30"/>
  <sheetViews>
    <sheetView tabSelected="1" topLeftCell="AJ1" workbookViewId="0">
      <selection activeCell="AS7" sqref="AS7"/>
    </sheetView>
  </sheetViews>
  <sheetFormatPr defaultRowHeight="14" x14ac:dyDescent="0.3"/>
  <cols>
    <col min="1" max="1" width="9.9140625" customWidth="1"/>
    <col min="2" max="2" width="15.4140625" bestFit="1" customWidth="1"/>
    <col min="3" max="3" width="3.1640625" bestFit="1" customWidth="1"/>
    <col min="4" max="4" width="9" bestFit="1" customWidth="1"/>
    <col min="5" max="5" width="5.9140625" bestFit="1" customWidth="1"/>
    <col min="6" max="6" width="6.25" bestFit="1" customWidth="1"/>
    <col min="7" max="8" width="12.33203125" bestFit="1" customWidth="1"/>
    <col min="9" max="9" width="11.25" bestFit="1" customWidth="1"/>
    <col min="10" max="10" width="12.33203125" bestFit="1" customWidth="1"/>
    <col min="11" max="11" width="12.5" bestFit="1" customWidth="1"/>
    <col min="12" max="35" width="12.33203125" bestFit="1" customWidth="1"/>
    <col min="36" max="36" width="13.33203125" bestFit="1" customWidth="1"/>
    <col min="37" max="40" width="12.33203125" bestFit="1" customWidth="1"/>
    <col min="41" max="41" width="8.5" bestFit="1" customWidth="1"/>
    <col min="42" max="42" width="17.33203125" bestFit="1" customWidth="1"/>
    <col min="43" max="45" width="12.33203125" bestFit="1" customWidth="1"/>
    <col min="46" max="46" width="14.6640625" bestFit="1" customWidth="1"/>
    <col min="47" max="47" width="12.33203125" bestFit="1" customWidth="1"/>
  </cols>
  <sheetData>
    <row r="1" spans="1:47" x14ac:dyDescent="0.3">
      <c r="A1" s="3" t="s">
        <v>45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56</v>
      </c>
      <c r="Y1" s="3" t="s">
        <v>57</v>
      </c>
      <c r="Z1" s="3" t="s">
        <v>58</v>
      </c>
      <c r="AA1" s="3" t="s">
        <v>59</v>
      </c>
      <c r="AB1" s="3" t="s">
        <v>60</v>
      </c>
      <c r="AC1" s="3" t="s">
        <v>61</v>
      </c>
      <c r="AD1" s="3" t="s">
        <v>62</v>
      </c>
      <c r="AE1" s="3" t="s">
        <v>63</v>
      </c>
      <c r="AF1" s="3" t="s">
        <v>64</v>
      </c>
      <c r="AG1" s="3" t="s">
        <v>65</v>
      </c>
      <c r="AH1" s="3" t="s">
        <v>66</v>
      </c>
      <c r="AI1" s="3" t="s">
        <v>67</v>
      </c>
      <c r="AJ1" s="3" t="s">
        <v>75</v>
      </c>
      <c r="AK1" s="3" t="s">
        <v>76</v>
      </c>
      <c r="AL1" s="3" t="s">
        <v>70</v>
      </c>
      <c r="AM1" s="3" t="s">
        <v>71</v>
      </c>
      <c r="AN1" s="3" t="s">
        <v>72</v>
      </c>
      <c r="AO1" s="3" t="s">
        <v>77</v>
      </c>
      <c r="AP1" s="3" t="s">
        <v>78</v>
      </c>
      <c r="AQ1" s="3" t="s">
        <v>40</v>
      </c>
      <c r="AR1" s="3" t="s">
        <v>41</v>
      </c>
      <c r="AS1" s="3" t="s">
        <v>42</v>
      </c>
      <c r="AT1" s="3" t="s">
        <v>44</v>
      </c>
      <c r="AU1" s="3" t="s">
        <v>43</v>
      </c>
    </row>
    <row r="2" spans="1:47" x14ac:dyDescent="0.3">
      <c r="A2" s="1" t="s">
        <v>49</v>
      </c>
      <c r="B2" s="1" t="s">
        <v>24</v>
      </c>
      <c r="C2" s="1">
        <v>19</v>
      </c>
      <c r="D2" s="1">
        <v>3000</v>
      </c>
      <c r="E2" s="1">
        <v>696</v>
      </c>
      <c r="F2" s="1">
        <v>2216</v>
      </c>
      <c r="G2" s="1">
        <v>1501.1739130435001</v>
      </c>
      <c r="H2" s="1">
        <v>345.52689104244001</v>
      </c>
      <c r="I2" s="1">
        <v>2665960313</v>
      </c>
      <c r="J2" s="1">
        <v>113812.850966</v>
      </c>
      <c r="K2" s="1">
        <f t="shared" ref="K2:K8" si="0">J2/I2</f>
        <v>4.2691127250100216E-5</v>
      </c>
      <c r="L2" s="1">
        <v>3.5460078109217998</v>
      </c>
      <c r="M2" s="1">
        <v>2.0714797484488998</v>
      </c>
      <c r="N2" s="1">
        <v>28570.603328804002</v>
      </c>
      <c r="O2" s="1">
        <v>94655.936461846999</v>
      </c>
      <c r="P2" s="1">
        <v>11.686162745434</v>
      </c>
      <c r="Q2" s="1">
        <v>1.6319590950995999</v>
      </c>
      <c r="R2" s="1">
        <v>13.76843540506761</v>
      </c>
      <c r="S2" s="1">
        <v>14.66617429837518</v>
      </c>
      <c r="T2" s="1">
        <v>14.774798318372911</v>
      </c>
      <c r="U2" s="1">
        <v>16.814566526531081</v>
      </c>
      <c r="V2" s="1">
        <v>21.59731848653562</v>
      </c>
      <c r="W2" s="1">
        <v>23.79184183615498</v>
      </c>
      <c r="X2" s="1">
        <v>40.648789910237483</v>
      </c>
      <c r="Y2" s="1">
        <v>40.592432678104757</v>
      </c>
      <c r="Z2" s="1">
        <v>41.592432678104757</v>
      </c>
      <c r="AA2" s="1">
        <v>40.485058516077721</v>
      </c>
      <c r="AB2" s="1">
        <v>45.235200545392573</v>
      </c>
      <c r="AC2" s="1">
        <v>45.235200545392573</v>
      </c>
      <c r="AD2" s="1">
        <v>39.91069196682195</v>
      </c>
      <c r="AE2" s="1">
        <v>40.802067946824216</v>
      </c>
      <c r="AF2" s="1">
        <v>42.603454152937168</v>
      </c>
      <c r="AG2" s="1">
        <v>35.985910691966822</v>
      </c>
      <c r="AH2" s="1">
        <v>34.661856607203717</v>
      </c>
      <c r="AI2" s="1">
        <v>32.678445631178278</v>
      </c>
      <c r="AJ2" s="1">
        <v>-4.8139127243121713</v>
      </c>
      <c r="AK2" s="1">
        <v>1491.1232174688059</v>
      </c>
      <c r="AL2" s="1">
        <v>5727.1363090034956</v>
      </c>
      <c r="AM2" s="1">
        <v>3496.7596861471861</v>
      </c>
      <c r="AN2" s="1">
        <v>942.87091791703426</v>
      </c>
      <c r="AO2" s="1">
        <v>0</v>
      </c>
      <c r="AP2" s="1">
        <v>0</v>
      </c>
      <c r="AQ2" s="1">
        <v>0.50686562176458605</v>
      </c>
      <c r="AR2" s="1">
        <v>0.52515177545610503</v>
      </c>
      <c r="AS2" s="1">
        <v>5.8042262579007901E-2</v>
      </c>
      <c r="AT2" s="1">
        <v>3.79362267343391E-2</v>
      </c>
      <c r="AU2" s="1">
        <v>3.5459588162715598E-2</v>
      </c>
    </row>
    <row r="3" spans="1:47" x14ac:dyDescent="0.3">
      <c r="A3" s="1" t="s">
        <v>49</v>
      </c>
      <c r="B3" s="1" t="s">
        <v>25</v>
      </c>
      <c r="C3" s="1">
        <v>20</v>
      </c>
      <c r="D3" s="1">
        <v>3000</v>
      </c>
      <c r="E3" s="1">
        <v>757</v>
      </c>
      <c r="F3" s="1">
        <v>2486</v>
      </c>
      <c r="G3" s="1">
        <v>1528.6701570681</v>
      </c>
      <c r="H3" s="1">
        <v>347.02020432530003</v>
      </c>
      <c r="I3" s="1">
        <v>1493030789</v>
      </c>
      <c r="J3" s="1">
        <v>65713.442890000006</v>
      </c>
      <c r="K3" s="1">
        <f t="shared" si="0"/>
        <v>4.4013454628094746E-5</v>
      </c>
      <c r="L3" s="1">
        <v>3.3869648688907001</v>
      </c>
      <c r="M3" s="1">
        <v>1.9002410652034001</v>
      </c>
      <c r="N3" s="1">
        <v>22778.634039593999</v>
      </c>
      <c r="O3" s="1">
        <v>64050.457200874996</v>
      </c>
      <c r="P3" s="1">
        <v>11.687555343069</v>
      </c>
      <c r="Q3" s="1">
        <v>1.6021441396717999</v>
      </c>
      <c r="R3" s="1">
        <v>14.03765227021041</v>
      </c>
      <c r="S3" s="1">
        <v>14.556478405315611</v>
      </c>
      <c r="T3" s="1">
        <v>16.03266888150609</v>
      </c>
      <c r="U3" s="1">
        <v>17.58914728682171</v>
      </c>
      <c r="V3" s="1">
        <v>19.145625692137319</v>
      </c>
      <c r="W3" s="1">
        <v>22.258582502768551</v>
      </c>
      <c r="X3" s="1">
        <v>46.144795127353269</v>
      </c>
      <c r="Y3" s="1">
        <v>46.144795127353269</v>
      </c>
      <c r="Z3" s="1">
        <v>46.66362126245847</v>
      </c>
      <c r="AA3" s="1">
        <v>40.437707641196013</v>
      </c>
      <c r="AB3" s="1">
        <v>47.661129568106311</v>
      </c>
      <c r="AC3" s="1">
        <v>47.661129568106311</v>
      </c>
      <c r="AD3" s="1">
        <v>37.263565891472872</v>
      </c>
      <c r="AE3" s="1">
        <v>37.263565891472872</v>
      </c>
      <c r="AF3" s="1">
        <v>36.744739756367657</v>
      </c>
      <c r="AG3" s="1">
        <v>34.749723145071982</v>
      </c>
      <c r="AH3" s="1">
        <v>31.63676633444075</v>
      </c>
      <c r="AI3" s="1">
        <v>30.080287929125141</v>
      </c>
      <c r="AJ3" s="1">
        <v>4.5744745783247467</v>
      </c>
      <c r="AK3" s="1">
        <v>1805.9901960784309</v>
      </c>
      <c r="AL3" s="1">
        <v>5790.3787393162393</v>
      </c>
      <c r="AM3" s="1">
        <v>3413.6563492063492</v>
      </c>
      <c r="AN3" s="1">
        <v>1194.673274002158</v>
      </c>
      <c r="AO3" s="1">
        <v>0</v>
      </c>
      <c r="AP3" s="1">
        <v>0</v>
      </c>
      <c r="AQ3" s="1">
        <v>0.65386627307376499</v>
      </c>
      <c r="AR3" s="1">
        <v>0.52509009659749195</v>
      </c>
      <c r="AS3" s="1">
        <v>5.84803352341592E-2</v>
      </c>
      <c r="AT3" s="1">
        <v>4.3006800450671699E-2</v>
      </c>
      <c r="AU3" s="1">
        <v>3.25642269568766E-2</v>
      </c>
    </row>
    <row r="4" spans="1:47" x14ac:dyDescent="0.3">
      <c r="A4" s="1" t="s">
        <v>49</v>
      </c>
      <c r="B4" s="1" t="s">
        <v>26</v>
      </c>
      <c r="C4" s="1">
        <v>21</v>
      </c>
      <c r="D4" s="1">
        <v>3000</v>
      </c>
      <c r="E4" s="1">
        <v>770</v>
      </c>
      <c r="F4" s="1">
        <v>2166</v>
      </c>
      <c r="G4" s="1">
        <v>1491.4105691057</v>
      </c>
      <c r="H4" s="1">
        <v>322.03731265954002</v>
      </c>
      <c r="I4" s="1">
        <v>1686346692</v>
      </c>
      <c r="J4" s="1">
        <v>90328.327869999994</v>
      </c>
      <c r="K4" s="1">
        <f t="shared" si="0"/>
        <v>5.3564506218392722E-5</v>
      </c>
      <c r="L4" s="1">
        <v>3.4674397355657001</v>
      </c>
      <c r="M4" s="1">
        <v>1.9750174075275</v>
      </c>
      <c r="N4" s="1">
        <v>27319.601244918998</v>
      </c>
      <c r="O4" s="1">
        <v>81698.908102297995</v>
      </c>
      <c r="P4" s="1">
        <v>11.697993080790001</v>
      </c>
      <c r="Q4" s="1">
        <v>1.5280019745883999</v>
      </c>
      <c r="R4" s="1">
        <v>13.725317272531729</v>
      </c>
      <c r="S4" s="1">
        <v>14.08797590879759</v>
      </c>
      <c r="T4" s="1">
        <v>15.725317272531729</v>
      </c>
      <c r="U4" s="1">
        <v>16.813293181329321</v>
      </c>
      <c r="V4" s="1">
        <v>17.90126909012691</v>
      </c>
      <c r="W4" s="1">
        <v>20.07722090772209</v>
      </c>
      <c r="X4" s="1">
        <v>49.109485910948592</v>
      </c>
      <c r="Y4" s="1">
        <v>49.109485910948592</v>
      </c>
      <c r="Z4" s="1">
        <v>49.472144547214462</v>
      </c>
      <c r="AA4" s="1">
        <v>45.120240912024087</v>
      </c>
      <c r="AB4" s="1">
        <v>50.472144547214462</v>
      </c>
      <c r="AC4" s="1">
        <v>50.472144547214462</v>
      </c>
      <c r="AD4" s="1">
        <v>35.077220907722086</v>
      </c>
      <c r="AE4" s="1">
        <v>35.077220907722086</v>
      </c>
      <c r="AF4" s="1">
        <v>34.714562271456217</v>
      </c>
      <c r="AG4" s="1">
        <v>32.714562271456217</v>
      </c>
      <c r="AH4" s="1">
        <v>30.53861045386105</v>
      </c>
      <c r="AI4" s="1">
        <v>29.450634545063451</v>
      </c>
      <c r="AJ4" s="1">
        <v>-3.783416001786613</v>
      </c>
      <c r="AK4" s="1">
        <v>1674.347385620915</v>
      </c>
      <c r="AL4" s="1">
        <v>6041.7554487179486</v>
      </c>
      <c r="AM4" s="1">
        <v>3562.074920634921</v>
      </c>
      <c r="AN4" s="1">
        <v>1167.443689320389</v>
      </c>
      <c r="AO4" s="1">
        <v>0</v>
      </c>
      <c r="AP4" s="1">
        <v>0</v>
      </c>
      <c r="AQ4" s="1">
        <v>0.64628928253683704</v>
      </c>
      <c r="AR4" s="1">
        <v>0.50303668415726199</v>
      </c>
      <c r="AS4" s="1">
        <v>5.6719081500311401E-2</v>
      </c>
      <c r="AT4" s="1">
        <v>4.2683661597027703E-2</v>
      </c>
      <c r="AU4" s="1">
        <v>3.0979839302861498E-2</v>
      </c>
    </row>
    <row r="5" spans="1:47" x14ac:dyDescent="0.3">
      <c r="A5" s="1" t="s">
        <v>49</v>
      </c>
      <c r="B5" s="1" t="s">
        <v>27</v>
      </c>
      <c r="C5" s="1">
        <v>22</v>
      </c>
      <c r="D5" s="1">
        <v>3000</v>
      </c>
      <c r="E5" s="1">
        <v>806</v>
      </c>
      <c r="F5" s="1">
        <v>2254</v>
      </c>
      <c r="G5" s="1">
        <v>1401.4266055046</v>
      </c>
      <c r="H5" s="1">
        <v>287.38800924936999</v>
      </c>
      <c r="I5" s="1">
        <v>1830923811</v>
      </c>
      <c r="J5" s="1">
        <v>104882.679711</v>
      </c>
      <c r="K5" s="1">
        <f t="shared" si="0"/>
        <v>5.7284021913350931E-5</v>
      </c>
      <c r="L5" s="1">
        <v>3.2265789173884998</v>
      </c>
      <c r="M5" s="1">
        <v>1.6489090092266001</v>
      </c>
      <c r="N5" s="1">
        <v>19186.42868406</v>
      </c>
      <c r="O5" s="1">
        <v>47818.134355741997</v>
      </c>
      <c r="P5" s="1">
        <v>11.692253611503</v>
      </c>
      <c r="Q5" s="1">
        <v>1.5430560275184999</v>
      </c>
      <c r="R5" s="1">
        <v>14</v>
      </c>
      <c r="S5" s="1">
        <v>15</v>
      </c>
      <c r="T5" s="1">
        <v>15</v>
      </c>
      <c r="U5" s="1">
        <v>17</v>
      </c>
      <c r="V5" s="1">
        <v>22</v>
      </c>
      <c r="W5" s="1">
        <v>24</v>
      </c>
      <c r="X5" s="1">
        <v>40</v>
      </c>
      <c r="Y5" s="1">
        <v>40</v>
      </c>
      <c r="Z5" s="1">
        <v>41</v>
      </c>
      <c r="AA5" s="1">
        <v>41</v>
      </c>
      <c r="AB5" s="1">
        <v>45</v>
      </c>
      <c r="AC5" s="1">
        <v>45</v>
      </c>
      <c r="AD5" s="1">
        <v>40</v>
      </c>
      <c r="AE5" s="1">
        <v>41</v>
      </c>
      <c r="AF5" s="1">
        <v>43</v>
      </c>
      <c r="AG5" s="1">
        <v>36</v>
      </c>
      <c r="AH5" s="1">
        <v>35</v>
      </c>
      <c r="AI5" s="1">
        <v>33</v>
      </c>
      <c r="AJ5" s="1">
        <v>-14.611372790400999</v>
      </c>
      <c r="AK5" s="1">
        <v>2247.299535603715</v>
      </c>
      <c r="AL5" s="1">
        <v>6200.5306174089064</v>
      </c>
      <c r="AM5" s="1">
        <v>4211.0884711779436</v>
      </c>
      <c r="AN5" s="1">
        <v>1791.0762646908529</v>
      </c>
      <c r="AO5" s="1">
        <v>0</v>
      </c>
      <c r="AP5" s="1">
        <v>0</v>
      </c>
      <c r="AQ5" s="1">
        <v>0.68121390113926195</v>
      </c>
      <c r="AR5" s="1">
        <v>0.49490143939714798</v>
      </c>
      <c r="AS5" s="1">
        <v>5.74646713916174E-2</v>
      </c>
      <c r="AT5" s="1">
        <v>4.3878219048147399E-2</v>
      </c>
      <c r="AU5" s="1">
        <v>3.7018030012281898E-2</v>
      </c>
    </row>
    <row r="6" spans="1:47" x14ac:dyDescent="0.3">
      <c r="A6" s="1" t="s">
        <v>49</v>
      </c>
      <c r="B6" s="1" t="s">
        <v>28</v>
      </c>
      <c r="C6" s="1">
        <v>23</v>
      </c>
      <c r="D6" s="1">
        <v>3000</v>
      </c>
      <c r="E6" s="1">
        <v>764</v>
      </c>
      <c r="F6" s="1">
        <v>2457</v>
      </c>
      <c r="G6" s="1">
        <v>1495.0037174721001</v>
      </c>
      <c r="H6" s="1">
        <v>393.45242366469</v>
      </c>
      <c r="I6" s="1">
        <v>2097207654</v>
      </c>
      <c r="J6" s="1">
        <v>107398.910152</v>
      </c>
      <c r="K6" s="1">
        <f t="shared" si="0"/>
        <v>5.1210432093912238E-5</v>
      </c>
      <c r="L6" s="1">
        <v>3.7289658168324</v>
      </c>
      <c r="M6" s="1">
        <v>1.9345177466484</v>
      </c>
      <c r="N6" s="1">
        <v>16272.814939591</v>
      </c>
      <c r="O6" s="1">
        <v>38232.233671100003</v>
      </c>
      <c r="P6" s="1">
        <v>11.566371077498999</v>
      </c>
      <c r="Q6" s="1">
        <v>1.4403083970931001</v>
      </c>
      <c r="R6" s="1">
        <v>14.4449322389769</v>
      </c>
      <c r="S6" s="1">
        <v>15.155182286695929</v>
      </c>
      <c r="T6" s="1">
        <v>16.338423363237261</v>
      </c>
      <c r="U6" s="1">
        <v>18.469173506394348</v>
      </c>
      <c r="V6" s="1">
        <v>20.599923649551439</v>
      </c>
      <c r="W6" s="1">
        <v>24.86142393586562</v>
      </c>
      <c r="X6" s="1">
        <v>42.300248138957819</v>
      </c>
      <c r="Y6" s="1">
        <v>42.300248138957819</v>
      </c>
      <c r="Z6" s="1">
        <v>43.010498186676848</v>
      </c>
      <c r="AA6" s="1">
        <v>34.487497614048479</v>
      </c>
      <c r="AB6" s="1">
        <v>43.957243748807016</v>
      </c>
      <c r="AC6" s="1">
        <v>43.957243748807016</v>
      </c>
      <c r="AD6" s="1">
        <v>40.138385188012982</v>
      </c>
      <c r="AE6" s="1">
        <v>40.138385188012982</v>
      </c>
      <c r="AF6" s="1">
        <v>39.428135140293953</v>
      </c>
      <c r="AG6" s="1">
        <v>37.534644016033603</v>
      </c>
      <c r="AH6" s="1">
        <v>33.273143729719408</v>
      </c>
      <c r="AI6" s="1">
        <v>31.142393586562321</v>
      </c>
      <c r="AJ6" s="1">
        <v>9.5516221768510139</v>
      </c>
      <c r="AK6" s="1">
        <v>1331.5915032679741</v>
      </c>
      <c r="AL6" s="1">
        <v>5642.8508672699854</v>
      </c>
      <c r="AM6" s="1">
        <v>3132.2608776844072</v>
      </c>
      <c r="AN6" s="1">
        <v>741.79697315819544</v>
      </c>
      <c r="AO6" s="1">
        <v>0</v>
      </c>
      <c r="AP6" s="1">
        <v>0</v>
      </c>
      <c r="AQ6" s="1">
        <v>0.77048234176233299</v>
      </c>
      <c r="AR6" s="1">
        <v>0.57388478666476095</v>
      </c>
      <c r="AS6" s="1">
        <v>5.1793394639902297E-2</v>
      </c>
      <c r="AT6" s="1">
        <v>3.8459183713813398E-2</v>
      </c>
      <c r="AU6" s="1">
        <v>3.2537562796088902E-2</v>
      </c>
    </row>
    <row r="7" spans="1:47" x14ac:dyDescent="0.3">
      <c r="A7" s="1" t="s">
        <v>49</v>
      </c>
      <c r="B7" s="1" t="s">
        <v>29</v>
      </c>
      <c r="C7" s="1">
        <v>24</v>
      </c>
      <c r="D7" s="1">
        <v>3000</v>
      </c>
      <c r="E7" s="1">
        <v>745</v>
      </c>
      <c r="F7" s="1">
        <v>2199</v>
      </c>
      <c r="G7" s="1">
        <v>1290.2205882353001</v>
      </c>
      <c r="H7" s="1">
        <v>274.18678815067</v>
      </c>
      <c r="I7" s="1">
        <v>4408069128</v>
      </c>
      <c r="J7" s="1">
        <v>136943.526205</v>
      </c>
      <c r="K7" s="1">
        <f t="shared" si="0"/>
        <v>3.1066555951932884E-5</v>
      </c>
      <c r="L7" s="1">
        <v>2.9490613767000999</v>
      </c>
      <c r="M7" s="1">
        <v>1.6482001758514999</v>
      </c>
      <c r="N7" s="1">
        <v>44372.664892259003</v>
      </c>
      <c r="O7" s="1">
        <v>164413.15243834001</v>
      </c>
      <c r="P7" s="1">
        <v>11.879160122155</v>
      </c>
      <c r="Q7" s="1">
        <v>1.7619820781285001</v>
      </c>
      <c r="R7" s="1">
        <v>13.398677455842691</v>
      </c>
      <c r="S7" s="1">
        <v>13.80518576524841</v>
      </c>
      <c r="T7" s="1">
        <v>14.103889323936309</v>
      </c>
      <c r="U7" s="1">
        <v>16.697381014530581</v>
      </c>
      <c r="V7" s="1">
        <v>20.80518576524841</v>
      </c>
      <c r="W7" s="1">
        <v>24.88044896893761</v>
      </c>
      <c r="X7" s="1">
        <v>42.098755764378318</v>
      </c>
      <c r="Y7" s="1">
        <v>41.505264073784041</v>
      </c>
      <c r="Z7" s="1">
        <v>42.505264073784041</v>
      </c>
      <c r="AA7" s="1">
        <v>33.905507700339342</v>
      </c>
      <c r="AB7" s="1">
        <v>43.533890194031152</v>
      </c>
      <c r="AC7" s="1">
        <v>43.533890194031152</v>
      </c>
      <c r="AD7" s="1">
        <v>41.768728791438257</v>
      </c>
      <c r="AE7" s="1">
        <v>42.175237100843987</v>
      </c>
      <c r="AF7" s="1">
        <v>42.096058470373272</v>
      </c>
      <c r="AG7" s="1">
        <v>38.063516923344643</v>
      </c>
      <c r="AH7" s="1">
        <v>33.207778647872622</v>
      </c>
      <c r="AI7" s="1">
        <v>30.912990515966239</v>
      </c>
      <c r="AJ7" s="1">
        <v>-12.1491751878012</v>
      </c>
      <c r="AK7" s="1">
        <v>2989.5857630008518</v>
      </c>
      <c r="AL7" s="1">
        <v>6518.7005852842813</v>
      </c>
      <c r="AM7" s="1">
        <v>4281.0062939958589</v>
      </c>
      <c r="AN7" s="1">
        <v>2287.2468130012662</v>
      </c>
      <c r="AO7" s="1">
        <v>0</v>
      </c>
      <c r="AP7" s="1">
        <v>0</v>
      </c>
      <c r="AQ7" s="1">
        <v>0.61191171509738496</v>
      </c>
      <c r="AR7" s="1">
        <v>0.47578349608468401</v>
      </c>
      <c r="AS7" s="1">
        <v>5.5967370758393101E-2</v>
      </c>
      <c r="AT7" s="1">
        <v>4.5098289718740803E-2</v>
      </c>
      <c r="AU7" s="1">
        <v>3.9704916773083E-2</v>
      </c>
    </row>
    <row r="8" spans="1:47" x14ac:dyDescent="0.3">
      <c r="A8" s="1" t="s">
        <v>49</v>
      </c>
      <c r="B8" s="1" t="s">
        <v>30</v>
      </c>
      <c r="C8" s="1">
        <v>25</v>
      </c>
      <c r="D8" s="1">
        <v>3000</v>
      </c>
      <c r="E8" s="1">
        <v>749</v>
      </c>
      <c r="F8" s="1">
        <v>2184</v>
      </c>
      <c r="G8" s="1">
        <v>1412.3628048779999</v>
      </c>
      <c r="H8" s="1">
        <v>326.74619496049002</v>
      </c>
      <c r="I8" s="1">
        <v>2570805382</v>
      </c>
      <c r="J8" s="1">
        <v>129044.52971800001</v>
      </c>
      <c r="K8" s="1">
        <f t="shared" si="0"/>
        <v>5.0196148888410876E-5</v>
      </c>
      <c r="L8" s="1">
        <v>3.4844033941627002</v>
      </c>
      <c r="M8" s="1">
        <v>1.7882617414360999</v>
      </c>
      <c r="N8" s="1">
        <v>40389.268245045998</v>
      </c>
      <c r="O8" s="1">
        <v>125331.00405867001</v>
      </c>
      <c r="P8" s="1">
        <v>11.678537141986</v>
      </c>
      <c r="Q8" s="1">
        <v>1.7970149007272</v>
      </c>
      <c r="R8" s="1">
        <v>13.96051998074145</v>
      </c>
      <c r="S8" s="1">
        <v>14.947359974321939</v>
      </c>
      <c r="T8" s="1">
        <v>14.96051998074145</v>
      </c>
      <c r="U8" s="1">
        <v>16.97367998716097</v>
      </c>
      <c r="V8" s="1">
        <v>21.947359974321941</v>
      </c>
      <c r="W8" s="1">
        <v>23.986839993580489</v>
      </c>
      <c r="X8" s="1">
        <v>40.118440057775643</v>
      </c>
      <c r="Y8" s="1">
        <v>40.105280051356132</v>
      </c>
      <c r="Z8" s="1">
        <v>41.105280051356132</v>
      </c>
      <c r="AA8" s="1">
        <v>40.934199967902423</v>
      </c>
      <c r="AB8" s="1">
        <v>45.02632001283903</v>
      </c>
      <c r="AC8" s="1">
        <v>45.02632001283903</v>
      </c>
      <c r="AD8" s="1">
        <v>40</v>
      </c>
      <c r="AE8" s="1">
        <v>40.986839993580482</v>
      </c>
      <c r="AF8" s="1">
        <v>42.934199967902423</v>
      </c>
      <c r="AG8" s="1">
        <v>36</v>
      </c>
      <c r="AH8" s="1">
        <v>34.921039961482911</v>
      </c>
      <c r="AI8" s="1">
        <v>32.921039961482911</v>
      </c>
      <c r="AJ8" s="1">
        <v>-14.51403577087909</v>
      </c>
      <c r="AK8" s="1">
        <v>2355.822092630156</v>
      </c>
      <c r="AL8" s="1">
        <v>6141.4322778514579</v>
      </c>
      <c r="AM8" s="1">
        <v>4058.3198686371102</v>
      </c>
      <c r="AN8" s="1">
        <v>1850.8123535319719</v>
      </c>
      <c r="AO8" s="1">
        <v>0</v>
      </c>
      <c r="AP8" s="1">
        <v>0</v>
      </c>
      <c r="AQ8" s="1">
        <v>0.560549302843385</v>
      </c>
      <c r="AR8" s="1">
        <v>0.52512969531434694</v>
      </c>
      <c r="AS8" s="1">
        <v>5.2535090312589502E-2</v>
      </c>
      <c r="AT8" s="1">
        <v>3.9927085980268201E-2</v>
      </c>
      <c r="AU8" s="1">
        <v>3.1378162035610502E-2</v>
      </c>
    </row>
    <row r="9" spans="1:47" x14ac:dyDescent="0.3">
      <c r="A9" s="1"/>
      <c r="B9" s="1"/>
      <c r="C9" s="1"/>
      <c r="D9" s="1"/>
      <c r="E9" s="1"/>
      <c r="F9" s="1"/>
      <c r="G9" s="1"/>
      <c r="H9" s="1"/>
    </row>
    <row r="10" spans="1:47" x14ac:dyDescent="0.3">
      <c r="A10" s="1"/>
      <c r="B10" s="1"/>
      <c r="C10" s="1"/>
      <c r="D10" s="1"/>
      <c r="E10" s="1"/>
      <c r="F10" s="1"/>
      <c r="G10" s="1"/>
      <c r="H10" s="1"/>
    </row>
    <row r="11" spans="1:47" x14ac:dyDescent="0.3">
      <c r="A11" s="1"/>
      <c r="B11" s="1"/>
      <c r="C11" s="1"/>
      <c r="D11" s="1"/>
      <c r="E11" s="1"/>
      <c r="F11" s="1"/>
      <c r="G11" s="1"/>
      <c r="H11" s="1"/>
    </row>
    <row r="12" spans="1:47" x14ac:dyDescent="0.3">
      <c r="A12" s="1"/>
      <c r="B12" s="1"/>
      <c r="C12" s="1"/>
      <c r="D12" s="1"/>
      <c r="E12" s="1"/>
      <c r="F12" s="1"/>
      <c r="G12" s="1"/>
      <c r="H12" s="1"/>
    </row>
    <row r="13" spans="1:47" x14ac:dyDescent="0.3">
      <c r="A13" s="1"/>
      <c r="B13" s="1"/>
      <c r="C13" s="1"/>
      <c r="D13" s="1"/>
      <c r="E13" s="1"/>
      <c r="F13" s="1"/>
      <c r="G13" s="1"/>
      <c r="H13" s="1"/>
    </row>
    <row r="14" spans="1:47" x14ac:dyDescent="0.3">
      <c r="A14" s="1"/>
      <c r="B14" s="1"/>
      <c r="C14" s="1"/>
      <c r="D14" s="1"/>
      <c r="E14" s="1"/>
      <c r="F14" s="1"/>
      <c r="G14" s="1"/>
      <c r="H14" s="1"/>
    </row>
    <row r="15" spans="1:47" x14ac:dyDescent="0.3">
      <c r="A15" s="1"/>
      <c r="B15" s="1"/>
      <c r="C15" s="1"/>
      <c r="D15" s="1"/>
      <c r="E15" s="1"/>
      <c r="F15" s="1"/>
      <c r="G15" s="1"/>
      <c r="H15" s="1"/>
    </row>
    <row r="16" spans="1:47" x14ac:dyDescent="0.3">
      <c r="A16" s="1"/>
      <c r="B16" s="1"/>
      <c r="C16" s="1"/>
      <c r="D16" s="1"/>
      <c r="E16" s="1"/>
      <c r="F16" s="1"/>
      <c r="G16" s="1"/>
      <c r="H16" s="1"/>
    </row>
    <row r="17" spans="1:21" x14ac:dyDescent="0.3">
      <c r="A17" s="1"/>
      <c r="B17" s="1"/>
      <c r="C17" s="1"/>
      <c r="D17" s="1"/>
      <c r="E17" s="1"/>
      <c r="F17" s="1"/>
      <c r="G17" s="1"/>
      <c r="H17" s="1"/>
    </row>
    <row r="18" spans="1:21" x14ac:dyDescent="0.3">
      <c r="A18" s="1"/>
      <c r="B18" s="1"/>
      <c r="C18" s="1"/>
      <c r="D18" s="1"/>
      <c r="E18" s="1"/>
      <c r="F18" s="1"/>
      <c r="G18" s="1"/>
      <c r="H18" s="1"/>
    </row>
    <row r="19" spans="1:21" x14ac:dyDescent="0.3">
      <c r="A19" s="1"/>
      <c r="B19" s="1"/>
      <c r="C19" s="1"/>
      <c r="D19" s="1"/>
      <c r="E19" s="1"/>
      <c r="F19" s="1"/>
      <c r="G19" s="1"/>
      <c r="H19" s="1"/>
    </row>
    <row r="20" spans="1:21" x14ac:dyDescent="0.3">
      <c r="A20" s="1"/>
      <c r="B20" s="1"/>
      <c r="C20" s="1"/>
      <c r="D20" s="1"/>
      <c r="E20" s="1"/>
      <c r="F20" s="1"/>
      <c r="G20" s="1"/>
      <c r="H20" s="1"/>
    </row>
    <row r="21" spans="1:21" x14ac:dyDescent="0.3">
      <c r="A21" s="1"/>
      <c r="B21" s="1"/>
      <c r="C21" s="1"/>
      <c r="D21" s="1"/>
      <c r="E21" s="1"/>
      <c r="F21" s="1"/>
      <c r="G21" s="1"/>
      <c r="H21" s="1"/>
    </row>
    <row r="23" spans="1:2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2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Liard River 90</vt:lpstr>
      <vt:lpstr>Ohio River 90</vt:lpstr>
      <vt:lpstr>Finlay River 90</vt:lpstr>
      <vt:lpstr>Finlay River 30</vt:lpstr>
      <vt:lpstr>Finlay River 3000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wengzy</dc:creator>
  <cp:lastModifiedBy>刘滨瑞</cp:lastModifiedBy>
  <dcterms:created xsi:type="dcterms:W3CDTF">2015-06-05T18:17:20Z</dcterms:created>
  <dcterms:modified xsi:type="dcterms:W3CDTF">2023-12-30T06:54:12Z</dcterms:modified>
</cp:coreProperties>
</file>